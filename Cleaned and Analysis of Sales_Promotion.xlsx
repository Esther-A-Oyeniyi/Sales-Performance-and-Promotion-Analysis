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showInkAnnotation="0"/>
  <bookViews>
    <workbookView xWindow="390" yWindow="645" windowWidth="19815" windowHeight="8385" activeTab="5"/>
  </bookViews>
  <sheets>
    <sheet name="Clean Data" sheetId="1" r:id="rId1"/>
    <sheet name="Analysis" sheetId="2" r:id="rId2"/>
    <sheet name="Dashboard" sheetId="3" r:id="rId3"/>
    <sheet name="Project Notes" sheetId="4" r:id="rId4"/>
    <sheet name="Raw Data" sheetId="5" r:id="rId5"/>
    <sheet name="Cleaning Log" sheetId="6" r:id="rId6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C4" i="2"/>
  <c r="D4" i="2"/>
  <c r="E4" i="2"/>
  <c r="F4" i="2"/>
  <c r="G4" i="2"/>
  <c r="B5" i="2"/>
  <c r="C5" i="2"/>
  <c r="D5" i="2"/>
  <c r="E5" i="2"/>
  <c r="F5" i="2"/>
  <c r="G5" i="2"/>
  <c r="B6" i="2"/>
  <c r="C6" i="2"/>
  <c r="D6" i="2"/>
  <c r="E6" i="2"/>
  <c r="F6" i="2"/>
  <c r="G6" i="2"/>
  <c r="B7" i="2"/>
  <c r="C7" i="2"/>
  <c r="D7" i="2"/>
  <c r="E7" i="2"/>
  <c r="F7" i="2"/>
  <c r="G7" i="2"/>
  <c r="M7" i="2"/>
  <c r="I4" i="3"/>
  <c r="M6" i="2"/>
  <c r="E4" i="3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M5" i="2"/>
  <c r="A4" i="3"/>
  <c r="J9" i="2"/>
  <c r="J8" i="2"/>
  <c r="G8" i="2"/>
  <c r="F8" i="2"/>
  <c r="E8" i="2"/>
  <c r="D8" i="2"/>
  <c r="C8" i="2"/>
  <c r="B8" i="2"/>
  <c r="J7" i="2"/>
  <c r="J6" i="2"/>
  <c r="J5" i="2"/>
  <c r="M4" i="2"/>
  <c r="J4" i="2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<sst xmlns="http://schemas.openxmlformats.org/spreadsheetml/2006/main" count="1362" uniqueCount="301">
  <si>
    <t>Account ID</t>
  </si>
  <si>
    <t>Account Type</t>
  </si>
  <si>
    <t>Regular</t>
  </si>
  <si>
    <t>Sugar Free</t>
  </si>
  <si>
    <t>Yellow Edition</t>
  </si>
  <si>
    <t>Cooler</t>
  </si>
  <si>
    <t>Digital Screen</t>
  </si>
  <si>
    <t>Menu Inclusion</t>
  </si>
  <si>
    <t>Posters</t>
  </si>
  <si>
    <t>2017 Sales</t>
  </si>
  <si>
    <t>2018 Sales</t>
  </si>
  <si>
    <t>2019 Sales</t>
  </si>
  <si>
    <t>2020 Sales</t>
  </si>
  <si>
    <t>2021 Sales</t>
  </si>
  <si>
    <t>CAGR (2017–2021)</t>
  </si>
  <si>
    <t>Total Sales</t>
  </si>
  <si>
    <t>Bar 13</t>
  </si>
  <si>
    <t>Bar</t>
  </si>
  <si>
    <t>Yes</t>
  </si>
  <si>
    <t>Bar 14</t>
  </si>
  <si>
    <t>Bar 4</t>
  </si>
  <si>
    <t>Bar 3</t>
  </si>
  <si>
    <t>Bar 8</t>
  </si>
  <si>
    <t>No</t>
  </si>
  <si>
    <t>Bar 1</t>
  </si>
  <si>
    <t>Bar 5</t>
  </si>
  <si>
    <t>Bar 10</t>
  </si>
  <si>
    <t>Bar 6</t>
  </si>
  <si>
    <t>Bar 12</t>
  </si>
  <si>
    <t>Bar 2</t>
  </si>
  <si>
    <t>Bar 11</t>
  </si>
  <si>
    <t>Bar 9</t>
  </si>
  <si>
    <t>Bar 15</t>
  </si>
  <si>
    <t>Bar 7</t>
  </si>
  <si>
    <t>Club 2</t>
  </si>
  <si>
    <t>Club</t>
  </si>
  <si>
    <t>Club 10</t>
  </si>
  <si>
    <t>Club 15</t>
  </si>
  <si>
    <t>Club 9</t>
  </si>
  <si>
    <t>Club 7</t>
  </si>
  <si>
    <t>Club 12</t>
  </si>
  <si>
    <t>Club 5</t>
  </si>
  <si>
    <t>Club 14</t>
  </si>
  <si>
    <t>Club 6</t>
  </si>
  <si>
    <t>Club 1</t>
  </si>
  <si>
    <t>Club 4</t>
  </si>
  <si>
    <t>Club 3</t>
  </si>
  <si>
    <t>Club 13</t>
  </si>
  <si>
    <t>Club 8</t>
  </si>
  <si>
    <t>Club 11</t>
  </si>
  <si>
    <t>Hotel 11</t>
  </si>
  <si>
    <t>Hotel</t>
  </si>
  <si>
    <t>Hotel 2</t>
  </si>
  <si>
    <t>Hotel 5</t>
  </si>
  <si>
    <t>Hotel 10</t>
  </si>
  <si>
    <t>Hotel 7</t>
  </si>
  <si>
    <t>Hotel 13</t>
  </si>
  <si>
    <t>Hotel 15</t>
  </si>
  <si>
    <t>Hotel 9</t>
  </si>
  <si>
    <t>Hotel 6</t>
  </si>
  <si>
    <t>Hotel 14</t>
  </si>
  <si>
    <t>Hotel 3</t>
  </si>
  <si>
    <t>Hotel 8</t>
  </si>
  <si>
    <t>Hotel 12</t>
  </si>
  <si>
    <t>Hotel 4</t>
  </si>
  <si>
    <t>Hotel 1</t>
  </si>
  <si>
    <t>Restaurant 5</t>
  </si>
  <si>
    <t>Restaurant</t>
  </si>
  <si>
    <t>Restaurant 12</t>
  </si>
  <si>
    <t>Restaurant 6</t>
  </si>
  <si>
    <t>Restaurant 10</t>
  </si>
  <si>
    <t>Restaurant 3</t>
  </si>
  <si>
    <t>Restaurant 14</t>
  </si>
  <si>
    <t>Restaurant 7</t>
  </si>
  <si>
    <t>Restaurant 9</t>
  </si>
  <si>
    <t>Restaurant 1</t>
  </si>
  <si>
    <t>Restaurant 15</t>
  </si>
  <si>
    <t>Restaurant 2</t>
  </si>
  <si>
    <t>Restaurant 13</t>
  </si>
  <si>
    <t>Restaurant 4</t>
  </si>
  <si>
    <t>Restaurant 11</t>
  </si>
  <si>
    <t>Restaurant 8</t>
  </si>
  <si>
    <t>Sales Performance Summary</t>
  </si>
  <si>
    <t>2017</t>
  </si>
  <si>
    <t>2018</t>
  </si>
  <si>
    <t>2019</t>
  </si>
  <si>
    <t>2020</t>
  </si>
  <si>
    <t>2021</t>
  </si>
  <si>
    <t>Product / Promotion</t>
  </si>
  <si>
    <t>Accounts</t>
  </si>
  <si>
    <t>KPI</t>
  </si>
  <si>
    <t>Value</t>
  </si>
  <si>
    <t>5-Year Sales</t>
  </si>
  <si>
    <t>Highest-Sales Segment</t>
  </si>
  <si>
    <t>Grand Total</t>
  </si>
  <si>
    <t>Sales Performance &amp; Promotion Dashboard</t>
  </si>
  <si>
    <t>Portfolio Highlights</t>
  </si>
  <si>
    <t>• 60 accounts across four hospitality segments
• Total sales (2017–2021): 1,480,848 cases
• Clubs recorded the highest five-year sales: 408,515 cases
• 2021 total sales reached 409,194 cases
• Menu inclusion had the widest promotion coverage: 42 accounts
• Sugar Free was available in 48 accounts; Yellow Edition in 30</t>
  </si>
  <si>
    <t>Project Notes</t>
  </si>
  <si>
    <t>Purpose</t>
  </si>
  <si>
    <t>Privacy</t>
  </si>
  <si>
    <t>Names, addresses, decision-maker names and phone numbers were removed because they are not needed to demonstrate the analysis.</t>
  </si>
  <si>
    <t>Dataset</t>
  </si>
  <si>
    <t>60 hospitality accounts across Bars, Clubs, Hotels and Restaurants; annual sales from 2017 to 2021.</t>
  </si>
  <si>
    <t>Analysis</t>
  </si>
  <si>
    <t>Sales trends, segment performance, product availability, promotional programme coverage, total sales and CAGR.</t>
  </si>
  <si>
    <t>CAGR correction</t>
  </si>
  <si>
    <t>CAGR is calculated across four annual intervals from 2017 to 2021: (2021 Sales / 2017 Sales)^(1/4) - 1.</t>
  </si>
  <si>
    <t>Tools</t>
  </si>
  <si>
    <t>Microsoft Excel; original project also used Power Query.</t>
  </si>
  <si>
    <t>Portfolio workflow</t>
  </si>
  <si>
    <t>Raw Data → Clean Data → Analysis → Dashboard</t>
  </si>
  <si>
    <t>Raw Data</t>
  </si>
  <si>
    <t>An anonymised copy of the source structure is included to show the starting point.</t>
  </si>
  <si>
    <t>Cleaning Log</t>
  </si>
  <si>
    <t>Documents the transformations used to prepare the analysis-ready data.</t>
  </si>
  <si>
    <t>Clean Data</t>
  </si>
  <si>
    <t>Contains only fields used for analysis plus calculated Total Sales and CAGR.</t>
  </si>
  <si>
    <t>Original file</t>
  </si>
  <si>
    <t>The original uploaded workbook remains unchanged.</t>
  </si>
  <si>
    <t>This sheet preserves the source-data structure for portfolio demonstration. Personal contact details have been anonymised for public sharing; no analytical calculations have been added.</t>
  </si>
  <si>
    <t>Account Name 2</t>
  </si>
  <si>
    <t>Account Address</t>
  </si>
  <si>
    <t>Decision Maker</t>
  </si>
  <si>
    <t>Phone Number</t>
  </si>
  <si>
    <t>Cooler?</t>
  </si>
  <si>
    <t>Digital screen?</t>
  </si>
  <si>
    <t>Menu inclusion?</t>
  </si>
  <si>
    <t>Posters?</t>
  </si>
  <si>
    <t>Address removed 01</t>
  </si>
  <si>
    <t>Contact 01</t>
  </si>
  <si>
    <t>Phone removed</t>
  </si>
  <si>
    <t>Address removed 02</t>
  </si>
  <si>
    <t>Contact 02</t>
  </si>
  <si>
    <t>Address removed 03</t>
  </si>
  <si>
    <t>Contact 03</t>
  </si>
  <si>
    <t>Address removed 04</t>
  </si>
  <si>
    <t>Contact 04</t>
  </si>
  <si>
    <t>Address removed 05</t>
  </si>
  <si>
    <t>Contact 05</t>
  </si>
  <si>
    <t>Address removed 06</t>
  </si>
  <si>
    <t>Contact 06</t>
  </si>
  <si>
    <t>Address removed 07</t>
  </si>
  <si>
    <t>Contact 07</t>
  </si>
  <si>
    <t>Address removed 08</t>
  </si>
  <si>
    <t>Contact 08</t>
  </si>
  <si>
    <t>Address removed 09</t>
  </si>
  <si>
    <t>Contact 09</t>
  </si>
  <si>
    <t>Address removed 10</t>
  </si>
  <si>
    <t>Contact 10</t>
  </si>
  <si>
    <t>Address removed 11</t>
  </si>
  <si>
    <t>Contact 11</t>
  </si>
  <si>
    <t>Address removed 12</t>
  </si>
  <si>
    <t>Contact 12</t>
  </si>
  <si>
    <t>Address removed 13</t>
  </si>
  <si>
    <t>Contact 13</t>
  </si>
  <si>
    <t>Address removed 14</t>
  </si>
  <si>
    <t>Contact 14</t>
  </si>
  <si>
    <t>Address removed 15</t>
  </si>
  <si>
    <t>Contact 15</t>
  </si>
  <si>
    <t>Nightclub 2</t>
  </si>
  <si>
    <t>Address removed 16</t>
  </si>
  <si>
    <t>Contact 16</t>
  </si>
  <si>
    <t>Nightclub 10</t>
  </si>
  <si>
    <t>Address removed 17</t>
  </si>
  <si>
    <t>Contact 17</t>
  </si>
  <si>
    <t>Nightclub 15</t>
  </si>
  <si>
    <t>Address removed 18</t>
  </si>
  <si>
    <t>Contact 18</t>
  </si>
  <si>
    <t>Nightclub 9</t>
  </si>
  <si>
    <t>Address removed 19</t>
  </si>
  <si>
    <t>Contact 19</t>
  </si>
  <si>
    <t>Nightclub 7</t>
  </si>
  <si>
    <t>Address removed 20</t>
  </si>
  <si>
    <t>Contact 20</t>
  </si>
  <si>
    <t>Nightclub 12</t>
  </si>
  <si>
    <t>Address removed 21</t>
  </si>
  <si>
    <t>Contact 21</t>
  </si>
  <si>
    <t>Nightclub 5</t>
  </si>
  <si>
    <t>Address removed 22</t>
  </si>
  <si>
    <t>Contact 22</t>
  </si>
  <si>
    <t>Nightclub 14</t>
  </si>
  <si>
    <t>Address removed 23</t>
  </si>
  <si>
    <t>Contact 23</t>
  </si>
  <si>
    <t>Nightclub 6</t>
  </si>
  <si>
    <t>Address removed 24</t>
  </si>
  <si>
    <t>Contact 24</t>
  </si>
  <si>
    <t>Nightclub 1</t>
  </si>
  <si>
    <t>Address removed 25</t>
  </si>
  <si>
    <t>Contact 25</t>
  </si>
  <si>
    <t>Nightclub 4</t>
  </si>
  <si>
    <t>Address removed 26</t>
  </si>
  <si>
    <t>Contact 26</t>
  </si>
  <si>
    <t>Nightclub 3</t>
  </si>
  <si>
    <t>Address removed 27</t>
  </si>
  <si>
    <t>Contact 27</t>
  </si>
  <si>
    <t>Nightclub 13</t>
  </si>
  <si>
    <t>Address removed 28</t>
  </si>
  <si>
    <t>Contact 28</t>
  </si>
  <si>
    <t>Nightclub 8</t>
  </si>
  <si>
    <t>Address removed 29</t>
  </si>
  <si>
    <t>Contact 29</t>
  </si>
  <si>
    <t>Nightclub 11</t>
  </si>
  <si>
    <t>Address removed 30</t>
  </si>
  <si>
    <t>Contact 30</t>
  </si>
  <si>
    <t>Event Venue 11</t>
  </si>
  <si>
    <t>Address removed 31</t>
  </si>
  <si>
    <t>Contact 31</t>
  </si>
  <si>
    <t>Event Venue 2</t>
  </si>
  <si>
    <t>Address removed 32</t>
  </si>
  <si>
    <t>Contact 32</t>
  </si>
  <si>
    <t>Event Venue 5</t>
  </si>
  <si>
    <t>Address removed 33</t>
  </si>
  <si>
    <t>Contact 33</t>
  </si>
  <si>
    <t>Event Venue 10</t>
  </si>
  <si>
    <t>Address removed 34</t>
  </si>
  <si>
    <t>Contact 34</t>
  </si>
  <si>
    <t>Event Venue 7</t>
  </si>
  <si>
    <t>Address removed 35</t>
  </si>
  <si>
    <t>Contact 35</t>
  </si>
  <si>
    <t>Event Venue 13</t>
  </si>
  <si>
    <t>Address removed 36</t>
  </si>
  <si>
    <t>Contact 36</t>
  </si>
  <si>
    <t>Event Venue 15</t>
  </si>
  <si>
    <t>Address removed 37</t>
  </si>
  <si>
    <t>Contact 37</t>
  </si>
  <si>
    <t>Event Venue 9</t>
  </si>
  <si>
    <t>Address removed 38</t>
  </si>
  <si>
    <t>Contact 38</t>
  </si>
  <si>
    <t>Event Venue 6</t>
  </si>
  <si>
    <t>Address removed 39</t>
  </si>
  <si>
    <t>Contact 39</t>
  </si>
  <si>
    <t>Event Venue 14</t>
  </si>
  <si>
    <t>Address removed 40</t>
  </si>
  <si>
    <t>Contact 40</t>
  </si>
  <si>
    <t>Event Venue 3</t>
  </si>
  <si>
    <t>Address removed 41</t>
  </si>
  <si>
    <t>Contact 41</t>
  </si>
  <si>
    <t>Event Venue 8</t>
  </si>
  <si>
    <t>Address removed 42</t>
  </si>
  <si>
    <t>Contact 42</t>
  </si>
  <si>
    <t>Event Venue 12</t>
  </si>
  <si>
    <t>Address removed 43</t>
  </si>
  <si>
    <t>Contact 43</t>
  </si>
  <si>
    <t>Event Venue 4</t>
  </si>
  <si>
    <t>Address removed 44</t>
  </si>
  <si>
    <t>Contact 44</t>
  </si>
  <si>
    <t>Event Venue 1</t>
  </si>
  <si>
    <t>Address removed 45</t>
  </si>
  <si>
    <t>Contact 45</t>
  </si>
  <si>
    <t>Address removed 46</t>
  </si>
  <si>
    <t>Contact 46</t>
  </si>
  <si>
    <t>Address removed 47</t>
  </si>
  <si>
    <t>Contact 47</t>
  </si>
  <si>
    <t>Address removed 48</t>
  </si>
  <si>
    <t>Contact 48</t>
  </si>
  <si>
    <t>Address removed 49</t>
  </si>
  <si>
    <t>Contact 49</t>
  </si>
  <si>
    <t>Address removed 50</t>
  </si>
  <si>
    <t>Contact 50</t>
  </si>
  <si>
    <t>Address removed 51</t>
  </si>
  <si>
    <t>Contact 51</t>
  </si>
  <si>
    <t>Address removed 52</t>
  </si>
  <si>
    <t>Contact 52</t>
  </si>
  <si>
    <t>Address removed 53</t>
  </si>
  <si>
    <t>Contact 53</t>
  </si>
  <si>
    <t>Address removed 54</t>
  </si>
  <si>
    <t>Contact 54</t>
  </si>
  <si>
    <t>Address removed 55</t>
  </si>
  <si>
    <t>Contact 55</t>
  </si>
  <si>
    <t>Address removed 56</t>
  </si>
  <si>
    <t>Contact 56</t>
  </si>
  <si>
    <t>Address removed 57</t>
  </si>
  <si>
    <t>Contact 57</t>
  </si>
  <si>
    <t>Address removed 58</t>
  </si>
  <si>
    <t>Contact 58</t>
  </si>
  <si>
    <t>Address removed 59</t>
  </si>
  <si>
    <t>Contact 59</t>
  </si>
  <si>
    <t>Address removed 60</t>
  </si>
  <si>
    <t>Contact 60</t>
  </si>
  <si>
    <t>Data Preparation Record</t>
  </si>
  <si>
    <t>This sheet explains the visible changes from the public raw data to the analysis-ready data.</t>
  </si>
  <si>
    <t>Step</t>
  </si>
  <si>
    <t>What changed</t>
  </si>
  <si>
    <t>Reason</t>
  </si>
  <si>
    <t>Removed Account Address, Decision Maker and Phone Number from the analysis-ready table.</t>
  </si>
  <si>
    <t>These fields were not required for the sales analysis and were excluded from the public analytical dataset.</t>
  </si>
  <si>
    <t>Retained account name/type, product availability, promotion indicators and annual sales for 2017–2021.</t>
  </si>
  <si>
    <t>These variables directly support the project questions.</t>
  </si>
  <si>
    <t>Standardised the working table into one row per account with consistent analytical fields.</t>
  </si>
  <si>
    <t>This makes the dataset easier to filter, summarise and analyse.</t>
  </si>
  <si>
    <t>Added Total Sales as a calculated field.</t>
  </si>
  <si>
    <t>To compare overall account performance across the five years.</t>
  </si>
  <si>
    <t>Calculated CAGR using 2017 as the beginning value and 2021 as the ending value over four compounding intervals.</t>
  </si>
  <si>
    <t>To compare annualised growth across accounts consistently.</t>
  </si>
  <si>
    <t>Built summary analysis by account type and promotion coverage.</t>
  </si>
  <si>
    <t>To compare segments and identify commercial patterns.</t>
  </si>
  <si>
    <t>Created dashboard charts from the prepared analysis.</t>
  </si>
  <si>
    <t>To communicate the main findings visually.</t>
  </si>
  <si>
    <t>Portfolio version of the original hypothetical account sales dataset.</t>
  </si>
  <si>
    <t xml:space="preserve">Sales Account Dataset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</si>
</sst>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9">
    <font>
      <sz val="11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10"/>
      <name val="Carlito"/>
    </font>
    <font>
      <b/>
      <sz val="16"/>
      <color rgb="FFFFFFFF"/>
      <name val="Carlito"/>
    </font>
    <font>
      <b/>
      <sz val="11"/>
      <name val="Carlito"/>
    </font>
    <font>
      <b/>
      <sz val="10"/>
      <name val="Carlito"/>
    </font>
    <font>
      <i/>
      <sz val="11"/>
      <color rgb="FF1F1F1F"/>
      <name val="Carlito"/>
    </font>
    <font>
      <i/>
      <sz val="11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164" fontId="3" fillId="0" borderId="0" xfId="0" applyNumberFormat="1" applyFont="1" applyFill="1" applyBorder="1"/>
    <xf numFmtId="3" fontId="3" fillId="0" borderId="0" xfId="0" applyNumberFormat="1" applyFont="1" applyFill="1" applyBorder="1"/>
    <xf numFmtId="0" fontId="6" fillId="3" borderId="0" xfId="0" applyNumberFormat="1" applyFont="1" applyFill="1" applyBorder="1"/>
    <xf numFmtId="3" fontId="6" fillId="3" borderId="0" xfId="0" applyNumberFormat="1" applyFont="1" applyFill="1" applyBorder="1"/>
    <xf numFmtId="0" fontId="5" fillId="3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wrapText="1"/>
    </xf>
    <xf numFmtId="0" fontId="1" fillId="7" borderId="0" xfId="0" applyNumberFormat="1" applyFont="1" applyFill="1" applyBorder="1"/>
    <xf numFmtId="0" fontId="1" fillId="7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horizontal="center" wrapText="1"/>
    </xf>
    <xf numFmtId="0" fontId="5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horizontal="center" vertical="center"/>
    </xf>
    <xf numFmtId="0" fontId="6" fillId="3" borderId="0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/>
    </xf>
    <xf numFmtId="0" fontId="4" fillId="5" borderId="0" xfId="0" applyNumberFormat="1" applyFont="1" applyFill="1" applyBorder="1" applyAlignment="1">
      <alignment vertical="center"/>
    </xf>
    <xf numFmtId="0" fontId="7" fillId="6" borderId="0" xfId="0" applyNumberFormat="1" applyFont="1" applyFill="1" applyBorder="1" applyAlignment="1">
      <alignment wrapText="1"/>
    </xf>
    <xf numFmtId="0" fontId="4" fillId="5" borderId="0" xfId="0" applyNumberFormat="1" applyFont="1" applyFill="1" applyBorder="1"/>
    <xf numFmtId="0" fontId="8" fillId="6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Sales Trend by Account Type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cat>
            <c:strRef>
              <c:f>Analysis!$A$3:$A$7</c:f>
              <c:strCache>
                <c:ptCount val="5"/>
                <c:pt idx="0">
                  <c:v>Account Type</c:v>
                </c:pt>
                <c:pt idx="1">
                  <c:v>Bar</c:v>
                </c:pt>
                <c:pt idx="2">
                  <c:v>Club</c:v>
                </c:pt>
                <c:pt idx="3">
                  <c:v>Hotel</c:v>
                </c:pt>
                <c:pt idx="4">
                  <c:v>Restaurant</c:v>
                </c:pt>
              </c:strCache>
            </c:strRef>
          </c:cat>
          <c:val>
            <c:numRef>
              <c:f>Analysis!$B$3:$B$7</c:f>
              <c:numCache>
                <c:formatCode>#,##0</c:formatCode>
                <c:ptCount val="5"/>
                <c:pt idx="0" formatCode="General">
                  <c:v>0</c:v>
                </c:pt>
                <c:pt idx="1">
                  <c:v>51804</c:v>
                </c:pt>
                <c:pt idx="2">
                  <c:v>47259</c:v>
                </c:pt>
                <c:pt idx="3">
                  <c:v>44888</c:v>
                </c:pt>
                <c:pt idx="4">
                  <c:v>46025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A7B-2941-8F2E-F5591AE52794}"/>
            </c:ext>
          </c:extLst>
        </c:ser>
        <c:ser>
          <c:idx val="1"/>
          <c:order val="1"/>
          <c:tx>
            <c:v>Series 2</c:v>
          </c:tx>
          <c:cat>
            <c:strRef>
              <c:f>Analysis!$A$3:$A$7</c:f>
              <c:strCache>
                <c:ptCount val="5"/>
                <c:pt idx="0">
                  <c:v>Account Type</c:v>
                </c:pt>
                <c:pt idx="1">
                  <c:v>Bar</c:v>
                </c:pt>
                <c:pt idx="2">
                  <c:v>Club</c:v>
                </c:pt>
                <c:pt idx="3">
                  <c:v>Hotel</c:v>
                </c:pt>
                <c:pt idx="4">
                  <c:v>Restaurant</c:v>
                </c:pt>
              </c:strCache>
            </c:strRef>
          </c:cat>
          <c:val>
            <c:numRef>
              <c:f>Analysis!$C$3:$C$7</c:f>
              <c:numCache>
                <c:formatCode>#,##0</c:formatCode>
                <c:ptCount val="5"/>
                <c:pt idx="0" formatCode="General">
                  <c:v>0</c:v>
                </c:pt>
                <c:pt idx="1">
                  <c:v>60121</c:v>
                </c:pt>
                <c:pt idx="2">
                  <c:v>67275</c:v>
                </c:pt>
                <c:pt idx="3">
                  <c:v>50567</c:v>
                </c:pt>
                <c:pt idx="4">
                  <c:v>65032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A7B-2941-8F2E-F5591AE52794}"/>
            </c:ext>
          </c:extLst>
        </c:ser>
        <c:ser>
          <c:idx val="2"/>
          <c:order val="2"/>
          <c:tx>
            <c:v>Series 3</c:v>
          </c:tx>
          <c:cat>
            <c:strRef>
              <c:f>Analysis!$A$3:$A$7</c:f>
              <c:strCache>
                <c:ptCount val="5"/>
                <c:pt idx="0">
                  <c:v>Account Type</c:v>
                </c:pt>
                <c:pt idx="1">
                  <c:v>Bar</c:v>
                </c:pt>
                <c:pt idx="2">
                  <c:v>Club</c:v>
                </c:pt>
                <c:pt idx="3">
                  <c:v>Hotel</c:v>
                </c:pt>
                <c:pt idx="4">
                  <c:v>Restaurant</c:v>
                </c:pt>
              </c:strCache>
            </c:strRef>
          </c:cat>
          <c:val>
            <c:numRef>
              <c:f>Analysis!$D$3:$D$7</c:f>
              <c:numCache>
                <c:formatCode>#,##0</c:formatCode>
                <c:ptCount val="5"/>
                <c:pt idx="0" formatCode="General">
                  <c:v>0</c:v>
                </c:pt>
                <c:pt idx="1">
                  <c:v>60760</c:v>
                </c:pt>
                <c:pt idx="2">
                  <c:v>79646</c:v>
                </c:pt>
                <c:pt idx="3">
                  <c:v>70312</c:v>
                </c:pt>
                <c:pt idx="4">
                  <c:v>77731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A7B-2941-8F2E-F5591AE52794}"/>
            </c:ext>
          </c:extLst>
        </c:ser>
        <c:ser>
          <c:idx val="3"/>
          <c:order val="3"/>
          <c:tx>
            <c:v>Series 4</c:v>
          </c:tx>
          <c:cat>
            <c:strRef>
              <c:f>Analysis!$A$3:$A$7</c:f>
              <c:strCache>
                <c:ptCount val="5"/>
                <c:pt idx="0">
                  <c:v>Account Type</c:v>
                </c:pt>
                <c:pt idx="1">
                  <c:v>Bar</c:v>
                </c:pt>
                <c:pt idx="2">
                  <c:v>Club</c:v>
                </c:pt>
                <c:pt idx="3">
                  <c:v>Hotel</c:v>
                </c:pt>
                <c:pt idx="4">
                  <c:v>Restaurant</c:v>
                </c:pt>
              </c:strCache>
            </c:strRef>
          </c:cat>
          <c:val>
            <c:numRef>
              <c:f>Analysis!$E$3:$E$7</c:f>
              <c:numCache>
                <c:formatCode>#,##0</c:formatCode>
                <c:ptCount val="5"/>
                <c:pt idx="0" formatCode="General">
                  <c:v>0</c:v>
                </c:pt>
                <c:pt idx="1">
                  <c:v>75991</c:v>
                </c:pt>
                <c:pt idx="2">
                  <c:v>102065</c:v>
                </c:pt>
                <c:pt idx="3">
                  <c:v>82583</c:v>
                </c:pt>
                <c:pt idx="4">
                  <c:v>89595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A7B-2941-8F2E-F5591AE52794}"/>
            </c:ext>
          </c:extLst>
        </c:ser>
        <c:ser>
          <c:idx val="4"/>
          <c:order val="4"/>
          <c:tx>
            <c:v>Series 5</c:v>
          </c:tx>
          <c:cat>
            <c:strRef>
              <c:f>Analysis!$A$3:$A$7</c:f>
              <c:strCache>
                <c:ptCount val="5"/>
                <c:pt idx="0">
                  <c:v>Account Type</c:v>
                </c:pt>
                <c:pt idx="1">
                  <c:v>Bar</c:v>
                </c:pt>
                <c:pt idx="2">
                  <c:v>Club</c:v>
                </c:pt>
                <c:pt idx="3">
                  <c:v>Hotel</c:v>
                </c:pt>
                <c:pt idx="4">
                  <c:v>Restaurant</c:v>
                </c:pt>
              </c:strCache>
            </c:strRef>
          </c:cat>
          <c:val>
            <c:numRef>
              <c:f>Analysis!$F$3:$F$7</c:f>
              <c:numCache>
                <c:formatCode>#,##0</c:formatCode>
                <c:ptCount val="5"/>
                <c:pt idx="0" formatCode="General">
                  <c:v>0</c:v>
                </c:pt>
                <c:pt idx="1">
                  <c:v>94147</c:v>
                </c:pt>
                <c:pt idx="2">
                  <c:v>112270</c:v>
                </c:pt>
                <c:pt idx="3">
                  <c:v>100592</c:v>
                </c:pt>
                <c:pt idx="4">
                  <c:v>102185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6A7B-2941-8F2E-F5591AE52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452288"/>
        <c:axId val="260449408"/>
      </c:lineChart>
      <c:catAx>
        <c:axId val="25945228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60449408"/>
        <c:crosses val="autoZero"/>
        <c:auto val="1"/>
        <c:lblAlgn val="ctr"/>
        <c:lblOffset val="100"/>
        <c:noMultiLvlLbl val="0"/>
      </c:catAx>
      <c:valAx>
        <c:axId val="26044940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59452288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 Sales</c:v>
          </c:tx>
          <c:invertIfNegative val="1"/>
          <c:cat>
            <c:strRef>
              <c:f>Analysis!$A$4:$A$7</c:f>
              <c:strCache>
                <c:ptCount val="4"/>
                <c:pt idx="0">
                  <c:v>Bar</c:v>
                </c:pt>
                <c:pt idx="1">
                  <c:v>Club</c:v>
                </c:pt>
                <c:pt idx="2">
                  <c:v>Hotel</c:v>
                </c:pt>
                <c:pt idx="3">
                  <c:v>Restaurant</c:v>
                </c:pt>
              </c:strCache>
            </c:strRef>
          </c:cat>
          <c:val>
            <c:numRef>
              <c:f>Analysis!$G$4:$G$7</c:f>
              <c:numCache>
                <c:formatCode>#,##0</c:formatCode>
                <c:ptCount val="4"/>
                <c:pt idx="0">
                  <c:v>342823</c:v>
                </c:pt>
                <c:pt idx="1">
                  <c:v>408515</c:v>
                </c:pt>
                <c:pt idx="2">
                  <c:v>348942</c:v>
                </c:pt>
                <c:pt idx="3">
                  <c:v>380568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67E-DA4A-9BB6-4C21110D0A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482560"/>
        <c:axId val="260484096"/>
      </c:barChart>
      <c:catAx>
        <c:axId val="260482560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60484096"/>
        <c:crosses val="autoZero"/>
        <c:auto val="1"/>
        <c:lblAlgn val="ctr"/>
        <c:lblOffset val="100"/>
        <c:noMultiLvlLbl val="0"/>
      </c:catAx>
      <c:valAx>
        <c:axId val="260484096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260482560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Accounts</c:v>
          </c:tx>
          <c:invertIfNegative val="1"/>
          <c:cat>
            <c:strRef>
              <c:f>Analysis!$I$4:$I$9</c:f>
              <c:strCache>
                <c:ptCount val="6"/>
                <c:pt idx="0">
                  <c:v>Sugar Free</c:v>
                </c:pt>
                <c:pt idx="1">
                  <c:v>Yellow Edition</c:v>
                </c:pt>
                <c:pt idx="2">
                  <c:v>Cooler</c:v>
                </c:pt>
                <c:pt idx="3">
                  <c:v>Digital Screen</c:v>
                </c:pt>
                <c:pt idx="4">
                  <c:v>Menu Inclusion</c:v>
                </c:pt>
                <c:pt idx="5">
                  <c:v>Posters</c:v>
                </c:pt>
              </c:strCache>
            </c:strRef>
          </c:cat>
          <c:val>
            <c:numRef>
              <c:f>Analysis!$J$4:$J$9</c:f>
              <c:numCache>
                <c:formatCode>General</c:formatCode>
                <c:ptCount val="6"/>
                <c:pt idx="0">
                  <c:v>48</c:v>
                </c:pt>
                <c:pt idx="1">
                  <c:v>30</c:v>
                </c:pt>
                <c:pt idx="2">
                  <c:v>26</c:v>
                </c:pt>
                <c:pt idx="3">
                  <c:v>20</c:v>
                </c:pt>
                <c:pt idx="4">
                  <c:v>42</c:v>
                </c:pt>
                <c:pt idx="5">
                  <c:v>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A3F-144D-8DD6-1A670DC4E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0504576"/>
        <c:axId val="260244224"/>
      </c:barChart>
      <c:catAx>
        <c:axId val="260504576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60244224"/>
        <c:crosses val="autoZero"/>
        <c:auto val="1"/>
        <c:lblAlgn val="ctr"/>
        <c:lblOffset val="100"/>
        <c:noMultiLvlLbl val="0"/>
      </c:catAx>
      <c:valAx>
        <c:axId val="260244224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260504576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6</xdr:col>
      <xdr:colOff>0</xdr:colOff>
      <xdr:row>40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alesData" displayName="SalesData" ref="A1:P61">
  <tableColumns count="16">
    <tableColumn id="1" name="Account ID"/>
    <tableColumn id="2" name="Account Type"/>
    <tableColumn id="3" name="Regular"/>
    <tableColumn id="4" name="Sugar Free"/>
    <tableColumn id="5" name="Yellow Edition"/>
    <tableColumn id="6" name="Cooler"/>
    <tableColumn id="7" name="Digital Screen"/>
    <tableColumn id="8" name="Menu Inclusion"/>
    <tableColumn id="9" name="Posters"/>
    <tableColumn id="10" name="2017 Sales"/>
    <tableColumn id="11" name="2018 Sales"/>
    <tableColumn id="12" name="2019 Sales"/>
    <tableColumn id="13" name="2020 Sales"/>
    <tableColumn id="14" name="2021 Sales"/>
    <tableColumn id="15" name="CAGR (2017–2021)"/>
    <tableColumn id="16" name="Total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zoomScaleNormal="60" zoomScaleSheetLayoutView="100" workbookViewId="0">
      <selection activeCell="A24" sqref="A24"/>
    </sheetView>
  </sheetViews>
  <sheetFormatPr defaultRowHeight="14.25"/>
  <cols>
    <col min="1" max="1" width="18" customWidth="1"/>
    <col min="2" max="2" width="14" customWidth="1"/>
    <col min="3" max="9" width="13" customWidth="1"/>
    <col min="10" max="14" width="12" customWidth="1"/>
    <col min="15" max="15" width="18" customWidth="1"/>
    <col min="16" max="16" width="14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4">
        <v>24</v>
      </c>
      <c r="K2" s="4">
        <v>1797</v>
      </c>
      <c r="L2" s="4">
        <v>3548</v>
      </c>
      <c r="M2" s="4">
        <v>3668</v>
      </c>
      <c r="N2" s="4">
        <v>8592</v>
      </c>
      <c r="O2" s="3">
        <f t="shared" ref="O2:O33" si="0">IFERROR((N2/J2)^(1/4)-1,"")</f>
        <v>3.3498147004699526</v>
      </c>
      <c r="P2" s="4">
        <f t="shared" ref="P2:P33" si="1">SUM(J2:N2)</f>
        <v>17629</v>
      </c>
    </row>
    <row r="3" spans="1:16">
      <c r="A3" s="2" t="s">
        <v>19</v>
      </c>
      <c r="B3" s="2" t="s">
        <v>17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4">
        <v>861</v>
      </c>
      <c r="K3" s="4">
        <v>1314</v>
      </c>
      <c r="L3" s="4">
        <v>1810</v>
      </c>
      <c r="M3" s="4">
        <v>6510</v>
      </c>
      <c r="N3" s="4">
        <v>9271</v>
      </c>
      <c r="O3" s="3">
        <f t="shared" si="0"/>
        <v>0.81146879617010592</v>
      </c>
      <c r="P3" s="4">
        <f t="shared" si="1"/>
        <v>19766</v>
      </c>
    </row>
    <row r="4" spans="1:16">
      <c r="A4" s="2" t="s">
        <v>20</v>
      </c>
      <c r="B4" s="2" t="s">
        <v>17</v>
      </c>
      <c r="C4" s="2" t="s">
        <v>18</v>
      </c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4">
        <v>906</v>
      </c>
      <c r="K4" s="4">
        <v>1251</v>
      </c>
      <c r="L4" s="4">
        <v>2897</v>
      </c>
      <c r="M4" s="4">
        <v>4499</v>
      </c>
      <c r="N4" s="4">
        <v>9428</v>
      </c>
      <c r="O4" s="3">
        <f t="shared" si="0"/>
        <v>0.79606828454142997</v>
      </c>
      <c r="P4" s="4">
        <f t="shared" si="1"/>
        <v>18981</v>
      </c>
    </row>
    <row r="5" spans="1:16">
      <c r="A5" s="2" t="s">
        <v>21</v>
      </c>
      <c r="B5" s="2" t="s">
        <v>17</v>
      </c>
      <c r="C5" s="2" t="s">
        <v>18</v>
      </c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4">
        <v>1209</v>
      </c>
      <c r="K5" s="4">
        <v>1534</v>
      </c>
      <c r="L5" s="4">
        <v>1634</v>
      </c>
      <c r="M5" s="4">
        <v>4302</v>
      </c>
      <c r="N5" s="4">
        <v>9768</v>
      </c>
      <c r="O5" s="3">
        <f t="shared" si="0"/>
        <v>0.68595057009486848</v>
      </c>
      <c r="P5" s="4">
        <f t="shared" si="1"/>
        <v>18447</v>
      </c>
    </row>
    <row r="6" spans="1:16">
      <c r="A6" s="2" t="s">
        <v>22</v>
      </c>
      <c r="B6" s="2" t="s">
        <v>17</v>
      </c>
      <c r="C6" s="2" t="s">
        <v>18</v>
      </c>
      <c r="D6" s="2" t="s">
        <v>18</v>
      </c>
      <c r="E6" s="2" t="s">
        <v>18</v>
      </c>
      <c r="F6" s="2" t="s">
        <v>18</v>
      </c>
      <c r="G6" s="2" t="s">
        <v>23</v>
      </c>
      <c r="H6" s="2" t="s">
        <v>18</v>
      </c>
      <c r="I6" s="2" t="s">
        <v>23</v>
      </c>
      <c r="J6" s="4">
        <v>1581</v>
      </c>
      <c r="K6" s="4">
        <v>4799</v>
      </c>
      <c r="L6" s="4">
        <v>6582</v>
      </c>
      <c r="M6" s="4">
        <v>9024</v>
      </c>
      <c r="N6" s="4">
        <v>9759</v>
      </c>
      <c r="O6" s="3">
        <f t="shared" si="0"/>
        <v>0.57622554654037406</v>
      </c>
      <c r="P6" s="4">
        <f t="shared" si="1"/>
        <v>31745</v>
      </c>
    </row>
    <row r="7" spans="1:16">
      <c r="A7" s="2" t="s">
        <v>24</v>
      </c>
      <c r="B7" s="2" t="s">
        <v>17</v>
      </c>
      <c r="C7" s="2" t="s">
        <v>18</v>
      </c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4">
        <v>1982</v>
      </c>
      <c r="K7" s="4">
        <v>5388</v>
      </c>
      <c r="L7" s="4">
        <v>7063</v>
      </c>
      <c r="M7" s="4">
        <v>7208</v>
      </c>
      <c r="N7" s="4">
        <v>9093</v>
      </c>
      <c r="O7" s="3">
        <f t="shared" si="0"/>
        <v>0.46352749292411066</v>
      </c>
      <c r="P7" s="4">
        <f t="shared" si="1"/>
        <v>30734</v>
      </c>
    </row>
    <row r="8" spans="1:16">
      <c r="A8" s="2" t="s">
        <v>25</v>
      </c>
      <c r="B8" s="2" t="s">
        <v>17</v>
      </c>
      <c r="C8" s="2" t="s">
        <v>18</v>
      </c>
      <c r="D8" s="2" t="s">
        <v>18</v>
      </c>
      <c r="E8" s="2" t="s">
        <v>23</v>
      </c>
      <c r="F8" s="2" t="s">
        <v>18</v>
      </c>
      <c r="G8" s="2" t="s">
        <v>18</v>
      </c>
      <c r="H8" s="2" t="s">
        <v>18</v>
      </c>
      <c r="I8" s="2" t="s">
        <v>18</v>
      </c>
      <c r="J8" s="4">
        <v>1421</v>
      </c>
      <c r="K8" s="4">
        <v>1893</v>
      </c>
      <c r="L8" s="4">
        <v>2722</v>
      </c>
      <c r="M8" s="4">
        <v>4410</v>
      </c>
      <c r="N8" s="4">
        <v>5873</v>
      </c>
      <c r="O8" s="3">
        <f t="shared" si="0"/>
        <v>0.42582583880267388</v>
      </c>
      <c r="P8" s="4">
        <f t="shared" si="1"/>
        <v>16319</v>
      </c>
    </row>
    <row r="9" spans="1:16">
      <c r="A9" s="2" t="s">
        <v>26</v>
      </c>
      <c r="B9" s="2" t="s">
        <v>17</v>
      </c>
      <c r="C9" s="2" t="s">
        <v>18</v>
      </c>
      <c r="D9" s="2" t="s">
        <v>18</v>
      </c>
      <c r="E9" s="2" t="s">
        <v>23</v>
      </c>
      <c r="F9" s="2" t="s">
        <v>18</v>
      </c>
      <c r="G9" s="2" t="s">
        <v>23</v>
      </c>
      <c r="H9" s="2" t="s">
        <v>18</v>
      </c>
      <c r="I9" s="2" t="s">
        <v>23</v>
      </c>
      <c r="J9" s="4">
        <v>1530</v>
      </c>
      <c r="K9" s="4">
        <v>1620</v>
      </c>
      <c r="L9" s="4">
        <v>2027</v>
      </c>
      <c r="M9" s="4">
        <v>4881</v>
      </c>
      <c r="N9" s="4">
        <v>6002</v>
      </c>
      <c r="O9" s="3">
        <f t="shared" si="0"/>
        <v>0.40734683274409145</v>
      </c>
      <c r="P9" s="4">
        <f t="shared" si="1"/>
        <v>16060</v>
      </c>
    </row>
    <row r="10" spans="1:16">
      <c r="A10" s="2" t="s">
        <v>27</v>
      </c>
      <c r="B10" s="2" t="s">
        <v>17</v>
      </c>
      <c r="C10" s="2" t="s">
        <v>18</v>
      </c>
      <c r="D10" s="2" t="s">
        <v>18</v>
      </c>
      <c r="E10" s="2" t="s">
        <v>18</v>
      </c>
      <c r="F10" s="2" t="s">
        <v>23</v>
      </c>
      <c r="G10" s="2" t="s">
        <v>18</v>
      </c>
      <c r="H10" s="2" t="s">
        <v>18</v>
      </c>
      <c r="I10" s="2" t="s">
        <v>23</v>
      </c>
      <c r="J10" s="4">
        <v>2341</v>
      </c>
      <c r="K10" s="4">
        <v>6105</v>
      </c>
      <c r="L10" s="4">
        <v>7777</v>
      </c>
      <c r="M10" s="4">
        <v>7891</v>
      </c>
      <c r="N10" s="4">
        <v>8758</v>
      </c>
      <c r="O10" s="3">
        <f t="shared" si="0"/>
        <v>0.390755806385503</v>
      </c>
      <c r="P10" s="4">
        <f t="shared" si="1"/>
        <v>32872</v>
      </c>
    </row>
    <row r="11" spans="1:16">
      <c r="A11" s="2" t="s">
        <v>28</v>
      </c>
      <c r="B11" s="2" t="s">
        <v>17</v>
      </c>
      <c r="C11" s="2" t="s">
        <v>18</v>
      </c>
      <c r="D11" s="2" t="s">
        <v>23</v>
      </c>
      <c r="E11" s="2" t="s">
        <v>23</v>
      </c>
      <c r="F11" s="2" t="s">
        <v>23</v>
      </c>
      <c r="G11" s="2" t="s">
        <v>23</v>
      </c>
      <c r="H11" s="2" t="s">
        <v>23</v>
      </c>
      <c r="I11" s="2" t="s">
        <v>23</v>
      </c>
      <c r="J11" s="4">
        <v>1532</v>
      </c>
      <c r="K11" s="4">
        <v>2678</v>
      </c>
      <c r="L11" s="4">
        <v>4068</v>
      </c>
      <c r="M11" s="4">
        <v>4278</v>
      </c>
      <c r="N11" s="4">
        <v>5382</v>
      </c>
      <c r="O11" s="3">
        <f t="shared" si="0"/>
        <v>0.3690560602470212</v>
      </c>
      <c r="P11" s="4">
        <f t="shared" si="1"/>
        <v>17938</v>
      </c>
    </row>
    <row r="12" spans="1:16">
      <c r="A12" s="2" t="s">
        <v>29</v>
      </c>
      <c r="B12" s="2" t="s">
        <v>17</v>
      </c>
      <c r="C12" s="2" t="s">
        <v>18</v>
      </c>
      <c r="D12" s="2" t="s">
        <v>18</v>
      </c>
      <c r="E12" s="2" t="s">
        <v>18</v>
      </c>
      <c r="F12" s="2" t="s">
        <v>23</v>
      </c>
      <c r="G12" s="2" t="s">
        <v>18</v>
      </c>
      <c r="H12" s="2" t="s">
        <v>18</v>
      </c>
      <c r="I12" s="2" t="s">
        <v>18</v>
      </c>
      <c r="J12" s="4">
        <v>2786</v>
      </c>
      <c r="K12" s="4">
        <v>3804</v>
      </c>
      <c r="L12" s="4">
        <v>4121</v>
      </c>
      <c r="M12" s="4">
        <v>6210</v>
      </c>
      <c r="N12" s="4">
        <v>6909</v>
      </c>
      <c r="O12" s="3">
        <f t="shared" si="0"/>
        <v>0.25489826874508914</v>
      </c>
      <c r="P12" s="4">
        <f t="shared" si="1"/>
        <v>23830</v>
      </c>
    </row>
    <row r="13" spans="1:16">
      <c r="A13" s="2" t="s">
        <v>30</v>
      </c>
      <c r="B13" s="2" t="s">
        <v>17</v>
      </c>
      <c r="C13" s="2" t="s">
        <v>18</v>
      </c>
      <c r="D13" s="2" t="s">
        <v>23</v>
      </c>
      <c r="E13" s="2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4">
        <v>7555</v>
      </c>
      <c r="K13" s="4">
        <v>6551</v>
      </c>
      <c r="L13" s="4">
        <v>5188</v>
      </c>
      <c r="M13" s="4">
        <v>3436</v>
      </c>
      <c r="N13" s="4">
        <v>2359</v>
      </c>
      <c r="O13" s="3">
        <f t="shared" si="0"/>
        <v>-0.25247905109930902</v>
      </c>
      <c r="P13" s="4">
        <f t="shared" si="1"/>
        <v>25089</v>
      </c>
    </row>
    <row r="14" spans="1:16">
      <c r="A14" s="2" t="s">
        <v>31</v>
      </c>
      <c r="B14" s="2" t="s">
        <v>17</v>
      </c>
      <c r="C14" s="2" t="s">
        <v>18</v>
      </c>
      <c r="D14" s="2" t="s">
        <v>23</v>
      </c>
      <c r="E14" s="2" t="s">
        <v>23</v>
      </c>
      <c r="F14" s="2" t="s">
        <v>23</v>
      </c>
      <c r="G14" s="2" t="s">
        <v>23</v>
      </c>
      <c r="H14" s="2" t="s">
        <v>18</v>
      </c>
      <c r="I14" s="2" t="s">
        <v>23</v>
      </c>
      <c r="J14" s="4">
        <v>9766</v>
      </c>
      <c r="K14" s="4">
        <v>8049</v>
      </c>
      <c r="L14" s="4">
        <v>5556</v>
      </c>
      <c r="M14" s="4">
        <v>5202</v>
      </c>
      <c r="N14" s="4">
        <v>2373</v>
      </c>
      <c r="O14" s="3">
        <f t="shared" si="0"/>
        <v>-0.29790601141591733</v>
      </c>
      <c r="P14" s="4">
        <f t="shared" si="1"/>
        <v>30946</v>
      </c>
    </row>
    <row r="15" spans="1:16">
      <c r="A15" s="2" t="s">
        <v>32</v>
      </c>
      <c r="B15" s="2" t="s">
        <v>17</v>
      </c>
      <c r="C15" s="2" t="s">
        <v>18</v>
      </c>
      <c r="D15" s="2" t="s">
        <v>18</v>
      </c>
      <c r="E15" s="2" t="s">
        <v>23</v>
      </c>
      <c r="F15" s="2" t="s">
        <v>23</v>
      </c>
      <c r="G15" s="2" t="s">
        <v>23</v>
      </c>
      <c r="H15" s="2" t="s">
        <v>23</v>
      </c>
      <c r="I15" s="2" t="s">
        <v>23</v>
      </c>
      <c r="J15" s="4">
        <v>9058</v>
      </c>
      <c r="K15" s="4">
        <v>4839</v>
      </c>
      <c r="L15" s="4">
        <v>4776</v>
      </c>
      <c r="M15" s="4">
        <v>4024</v>
      </c>
      <c r="N15" s="4">
        <v>369</v>
      </c>
      <c r="O15" s="3">
        <f t="shared" si="0"/>
        <v>-0.55073921414194782</v>
      </c>
      <c r="P15" s="4">
        <f t="shared" si="1"/>
        <v>23066</v>
      </c>
    </row>
    <row r="16" spans="1:16">
      <c r="A16" s="2" t="s">
        <v>33</v>
      </c>
      <c r="B16" s="2" t="s">
        <v>17</v>
      </c>
      <c r="C16" s="2" t="s">
        <v>18</v>
      </c>
      <c r="D16" s="2" t="s">
        <v>23</v>
      </c>
      <c r="E16" s="2" t="s">
        <v>23</v>
      </c>
      <c r="F16" s="2" t="s">
        <v>23</v>
      </c>
      <c r="G16" s="2" t="s">
        <v>23</v>
      </c>
      <c r="H16" s="2" t="s">
        <v>18</v>
      </c>
      <c r="I16" s="2" t="s">
        <v>23</v>
      </c>
      <c r="J16" s="4">
        <v>9252</v>
      </c>
      <c r="K16" s="4">
        <v>8499</v>
      </c>
      <c r="L16" s="4">
        <v>991</v>
      </c>
      <c r="M16" s="4">
        <v>448</v>
      </c>
      <c r="N16" s="4">
        <v>211</v>
      </c>
      <c r="O16" s="3">
        <f t="shared" si="0"/>
        <v>-0.61139202601329412</v>
      </c>
      <c r="P16" s="4">
        <f t="shared" si="1"/>
        <v>19401</v>
      </c>
    </row>
    <row r="17" spans="1:16">
      <c r="A17" s="2" t="s">
        <v>34</v>
      </c>
      <c r="B17" s="2" t="s">
        <v>35</v>
      </c>
      <c r="C17" s="2" t="s">
        <v>18</v>
      </c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23</v>
      </c>
      <c r="J17" s="4">
        <v>138</v>
      </c>
      <c r="K17" s="4">
        <v>286</v>
      </c>
      <c r="L17" s="4">
        <v>6750</v>
      </c>
      <c r="M17" s="4">
        <v>8254</v>
      </c>
      <c r="N17" s="4">
        <v>8656</v>
      </c>
      <c r="O17" s="3">
        <f t="shared" si="0"/>
        <v>1.8142296888697582</v>
      </c>
      <c r="P17" s="4">
        <f t="shared" si="1"/>
        <v>24084</v>
      </c>
    </row>
    <row r="18" spans="1:16">
      <c r="A18" s="2" t="s">
        <v>36</v>
      </c>
      <c r="B18" s="2" t="s">
        <v>35</v>
      </c>
      <c r="C18" s="2" t="s">
        <v>18</v>
      </c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4">
        <v>376</v>
      </c>
      <c r="K18" s="4">
        <v>889</v>
      </c>
      <c r="L18" s="4">
        <v>4373</v>
      </c>
      <c r="M18" s="4">
        <v>6803</v>
      </c>
      <c r="N18" s="4">
        <v>7578</v>
      </c>
      <c r="O18" s="3">
        <f t="shared" si="0"/>
        <v>1.1188084145320056</v>
      </c>
      <c r="P18" s="4">
        <f t="shared" si="1"/>
        <v>20019</v>
      </c>
    </row>
    <row r="19" spans="1:16">
      <c r="A19" s="2" t="s">
        <v>37</v>
      </c>
      <c r="B19" s="2" t="s">
        <v>35</v>
      </c>
      <c r="C19" s="2" t="s">
        <v>18</v>
      </c>
      <c r="D19" s="2" t="s">
        <v>18</v>
      </c>
      <c r="E19" s="2" t="s">
        <v>18</v>
      </c>
      <c r="F19" s="2" t="s">
        <v>18</v>
      </c>
      <c r="G19" s="2" t="s">
        <v>18</v>
      </c>
      <c r="H19" s="2" t="s">
        <v>23</v>
      </c>
      <c r="I19" s="2" t="s">
        <v>23</v>
      </c>
      <c r="J19" s="4">
        <v>431</v>
      </c>
      <c r="K19" s="4">
        <v>6231</v>
      </c>
      <c r="L19" s="4">
        <v>7478</v>
      </c>
      <c r="M19" s="4">
        <v>8039</v>
      </c>
      <c r="N19" s="4">
        <v>8271</v>
      </c>
      <c r="O19" s="3">
        <f t="shared" si="0"/>
        <v>1.0930046233022455</v>
      </c>
      <c r="P19" s="4">
        <f t="shared" si="1"/>
        <v>30450</v>
      </c>
    </row>
    <row r="20" spans="1:16">
      <c r="A20" s="2" t="s">
        <v>38</v>
      </c>
      <c r="B20" s="2" t="s">
        <v>35</v>
      </c>
      <c r="C20" s="2" t="s">
        <v>18</v>
      </c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4">
        <v>488</v>
      </c>
      <c r="K20" s="4">
        <v>5535</v>
      </c>
      <c r="L20" s="4">
        <v>5775</v>
      </c>
      <c r="M20" s="4">
        <v>7661</v>
      </c>
      <c r="N20" s="4">
        <v>9206</v>
      </c>
      <c r="O20" s="3">
        <f t="shared" si="0"/>
        <v>1.084072328017021</v>
      </c>
      <c r="P20" s="4">
        <f t="shared" si="1"/>
        <v>28665</v>
      </c>
    </row>
    <row r="21" spans="1:16">
      <c r="A21" s="2" t="s">
        <v>39</v>
      </c>
      <c r="B21" s="2" t="s">
        <v>35</v>
      </c>
      <c r="C21" s="2" t="s">
        <v>18</v>
      </c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4">
        <v>742</v>
      </c>
      <c r="K21" s="4">
        <v>3751</v>
      </c>
      <c r="L21" s="4">
        <v>4423</v>
      </c>
      <c r="M21" s="4">
        <v>8733</v>
      </c>
      <c r="N21" s="4">
        <v>9909</v>
      </c>
      <c r="O21" s="3">
        <f t="shared" si="0"/>
        <v>0.91164163510334228</v>
      </c>
      <c r="P21" s="4">
        <f t="shared" si="1"/>
        <v>27558</v>
      </c>
    </row>
    <row r="22" spans="1:16">
      <c r="A22" s="2" t="s">
        <v>40</v>
      </c>
      <c r="B22" s="2" t="s">
        <v>35</v>
      </c>
      <c r="C22" s="2" t="s">
        <v>18</v>
      </c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4">
        <v>1038</v>
      </c>
      <c r="K22" s="4">
        <v>3615</v>
      </c>
      <c r="L22" s="4">
        <v>3712</v>
      </c>
      <c r="M22" s="4">
        <v>5819</v>
      </c>
      <c r="N22" s="4">
        <v>9589</v>
      </c>
      <c r="O22" s="3">
        <f t="shared" si="0"/>
        <v>0.74338775485751718</v>
      </c>
      <c r="P22" s="4">
        <f t="shared" si="1"/>
        <v>23773</v>
      </c>
    </row>
    <row r="23" spans="1:16">
      <c r="A23" s="2" t="s">
        <v>41</v>
      </c>
      <c r="B23" s="2" t="s">
        <v>35</v>
      </c>
      <c r="C23" s="2" t="s">
        <v>18</v>
      </c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4">
        <v>1092</v>
      </c>
      <c r="K23" s="4">
        <v>3140</v>
      </c>
      <c r="L23" s="4">
        <v>4123</v>
      </c>
      <c r="M23" s="4">
        <v>4366</v>
      </c>
      <c r="N23" s="4">
        <v>9482</v>
      </c>
      <c r="O23" s="3">
        <f t="shared" si="0"/>
        <v>0.71660086943635504</v>
      </c>
      <c r="P23" s="4">
        <f t="shared" si="1"/>
        <v>22203</v>
      </c>
    </row>
    <row r="24" spans="1:16">
      <c r="A24" s="2" t="s">
        <v>42</v>
      </c>
      <c r="B24" s="2" t="s">
        <v>35</v>
      </c>
      <c r="C24" s="2" t="s">
        <v>18</v>
      </c>
      <c r="D24" s="2" t="s">
        <v>18</v>
      </c>
      <c r="E24" s="2" t="s">
        <v>18</v>
      </c>
      <c r="F24" s="2" t="s">
        <v>18</v>
      </c>
      <c r="G24" s="2" t="s">
        <v>23</v>
      </c>
      <c r="H24" s="2" t="s">
        <v>23</v>
      </c>
      <c r="I24" s="2" t="s">
        <v>23</v>
      </c>
      <c r="J24" s="4">
        <v>1290</v>
      </c>
      <c r="K24" s="4">
        <v>4033</v>
      </c>
      <c r="L24" s="4">
        <v>6956</v>
      </c>
      <c r="M24" s="4">
        <v>7929</v>
      </c>
      <c r="N24" s="4">
        <v>8834</v>
      </c>
      <c r="O24" s="3">
        <f t="shared" si="0"/>
        <v>0.61767741115573149</v>
      </c>
      <c r="P24" s="4">
        <f t="shared" si="1"/>
        <v>29042</v>
      </c>
    </row>
    <row r="25" spans="1:16">
      <c r="A25" s="2" t="s">
        <v>43</v>
      </c>
      <c r="B25" s="2" t="s">
        <v>35</v>
      </c>
      <c r="C25" s="2" t="s">
        <v>18</v>
      </c>
      <c r="D25" s="2" t="s">
        <v>18</v>
      </c>
      <c r="E25" s="2" t="s">
        <v>18</v>
      </c>
      <c r="F25" s="2" t="s">
        <v>23</v>
      </c>
      <c r="G25" s="2" t="s">
        <v>23</v>
      </c>
      <c r="H25" s="2" t="s">
        <v>18</v>
      </c>
      <c r="I25" s="2" t="s">
        <v>18</v>
      </c>
      <c r="J25" s="4">
        <v>2541</v>
      </c>
      <c r="K25" s="4">
        <v>3794</v>
      </c>
      <c r="L25" s="4">
        <v>3984</v>
      </c>
      <c r="M25" s="4">
        <v>8803</v>
      </c>
      <c r="N25" s="4">
        <v>9338</v>
      </c>
      <c r="O25" s="3">
        <f t="shared" si="0"/>
        <v>0.38456165928272146</v>
      </c>
      <c r="P25" s="4">
        <f t="shared" si="1"/>
        <v>28460</v>
      </c>
    </row>
    <row r="26" spans="1:16">
      <c r="A26" s="2" t="s">
        <v>44</v>
      </c>
      <c r="B26" s="2" t="s">
        <v>35</v>
      </c>
      <c r="C26" s="2" t="s">
        <v>18</v>
      </c>
      <c r="D26" s="2" t="s">
        <v>18</v>
      </c>
      <c r="E26" s="2" t="s">
        <v>18</v>
      </c>
      <c r="F26" s="2" t="s">
        <v>23</v>
      </c>
      <c r="G26" s="2" t="s">
        <v>23</v>
      </c>
      <c r="H26" s="2" t="s">
        <v>18</v>
      </c>
      <c r="I26" s="2" t="s">
        <v>23</v>
      </c>
      <c r="J26" s="4">
        <v>2519</v>
      </c>
      <c r="K26" s="4">
        <v>3938</v>
      </c>
      <c r="L26" s="4">
        <v>5190</v>
      </c>
      <c r="M26" s="4">
        <v>8203</v>
      </c>
      <c r="N26" s="4">
        <v>8780</v>
      </c>
      <c r="O26" s="3">
        <f t="shared" si="0"/>
        <v>0.36636455401735013</v>
      </c>
      <c r="P26" s="4">
        <f t="shared" si="1"/>
        <v>28630</v>
      </c>
    </row>
    <row r="27" spans="1:16">
      <c r="A27" s="2" t="s">
        <v>45</v>
      </c>
      <c r="B27" s="2" t="s">
        <v>35</v>
      </c>
      <c r="C27" s="2" t="s">
        <v>18</v>
      </c>
      <c r="D27" s="2" t="s">
        <v>18</v>
      </c>
      <c r="E27" s="2" t="s">
        <v>18</v>
      </c>
      <c r="F27" s="2" t="s">
        <v>23</v>
      </c>
      <c r="G27" s="2" t="s">
        <v>23</v>
      </c>
      <c r="H27" s="2" t="s">
        <v>18</v>
      </c>
      <c r="I27" s="2" t="s">
        <v>18</v>
      </c>
      <c r="J27" s="4">
        <v>3297</v>
      </c>
      <c r="K27" s="4">
        <v>4866</v>
      </c>
      <c r="L27" s="4">
        <v>4928</v>
      </c>
      <c r="M27" s="4">
        <v>8451</v>
      </c>
      <c r="N27" s="4">
        <v>9585</v>
      </c>
      <c r="O27" s="3">
        <f t="shared" si="0"/>
        <v>0.30577482876902251</v>
      </c>
      <c r="P27" s="4">
        <f t="shared" si="1"/>
        <v>31127</v>
      </c>
    </row>
    <row r="28" spans="1:16">
      <c r="A28" s="2" t="s">
        <v>46</v>
      </c>
      <c r="B28" s="2" t="s">
        <v>35</v>
      </c>
      <c r="C28" s="2" t="s">
        <v>18</v>
      </c>
      <c r="D28" s="2" t="s">
        <v>18</v>
      </c>
      <c r="E28" s="2" t="s">
        <v>18</v>
      </c>
      <c r="F28" s="2" t="s">
        <v>23</v>
      </c>
      <c r="G28" s="2" t="s">
        <v>23</v>
      </c>
      <c r="H28" s="2" t="s">
        <v>18</v>
      </c>
      <c r="I28" s="2" t="s">
        <v>18</v>
      </c>
      <c r="J28" s="4">
        <v>8873</v>
      </c>
      <c r="K28" s="4">
        <v>8484</v>
      </c>
      <c r="L28" s="4">
        <v>7883</v>
      </c>
      <c r="M28" s="4">
        <v>7499</v>
      </c>
      <c r="N28" s="4">
        <v>6592</v>
      </c>
      <c r="O28" s="3">
        <f t="shared" si="0"/>
        <v>-7.1596691853915484E-2</v>
      </c>
      <c r="P28" s="4">
        <f t="shared" si="1"/>
        <v>39331</v>
      </c>
    </row>
    <row r="29" spans="1:16">
      <c r="A29" s="2" t="s">
        <v>47</v>
      </c>
      <c r="B29" s="2" t="s">
        <v>35</v>
      </c>
      <c r="C29" s="2" t="s">
        <v>18</v>
      </c>
      <c r="D29" s="2" t="s">
        <v>18</v>
      </c>
      <c r="E29" s="2" t="s">
        <v>23</v>
      </c>
      <c r="F29" s="2" t="s">
        <v>23</v>
      </c>
      <c r="G29" s="2" t="s">
        <v>23</v>
      </c>
      <c r="H29" s="2" t="s">
        <v>23</v>
      </c>
      <c r="I29" s="2" t="s">
        <v>23</v>
      </c>
      <c r="J29" s="4">
        <v>8891</v>
      </c>
      <c r="K29" s="4">
        <v>5952</v>
      </c>
      <c r="L29" s="4">
        <v>5914</v>
      </c>
      <c r="M29" s="4">
        <v>5405</v>
      </c>
      <c r="N29" s="4">
        <v>4031</v>
      </c>
      <c r="O29" s="3">
        <f t="shared" si="0"/>
        <v>-0.17943016656995925</v>
      </c>
      <c r="P29" s="4">
        <f t="shared" si="1"/>
        <v>30193</v>
      </c>
    </row>
    <row r="30" spans="1:16">
      <c r="A30" s="2" t="s">
        <v>48</v>
      </c>
      <c r="B30" s="2" t="s">
        <v>35</v>
      </c>
      <c r="C30" s="2" t="s">
        <v>18</v>
      </c>
      <c r="D30" s="2" t="s">
        <v>23</v>
      </c>
      <c r="E30" s="2" t="s">
        <v>23</v>
      </c>
      <c r="F30" s="2" t="s">
        <v>23</v>
      </c>
      <c r="G30" s="2" t="s">
        <v>23</v>
      </c>
      <c r="H30" s="2" t="s">
        <v>18</v>
      </c>
      <c r="I30" s="2" t="s">
        <v>18</v>
      </c>
      <c r="J30" s="4">
        <v>7703</v>
      </c>
      <c r="K30" s="4">
        <v>6957</v>
      </c>
      <c r="L30" s="4">
        <v>3898</v>
      </c>
      <c r="M30" s="4">
        <v>1857</v>
      </c>
      <c r="N30" s="4">
        <v>1512</v>
      </c>
      <c r="O30" s="3">
        <f t="shared" si="0"/>
        <v>-0.33438519484677687</v>
      </c>
      <c r="P30" s="4">
        <f t="shared" si="1"/>
        <v>21927</v>
      </c>
    </row>
    <row r="31" spans="1:16">
      <c r="A31" s="2" t="s">
        <v>49</v>
      </c>
      <c r="B31" s="2" t="s">
        <v>35</v>
      </c>
      <c r="C31" s="2" t="s">
        <v>18</v>
      </c>
      <c r="D31" s="2" t="s">
        <v>23</v>
      </c>
      <c r="E31" s="2" t="s">
        <v>23</v>
      </c>
      <c r="F31" s="2" t="s">
        <v>23</v>
      </c>
      <c r="G31" s="2" t="s">
        <v>23</v>
      </c>
      <c r="H31" s="2" t="s">
        <v>18</v>
      </c>
      <c r="I31" s="2" t="s">
        <v>18</v>
      </c>
      <c r="J31" s="4">
        <v>7840</v>
      </c>
      <c r="K31" s="4">
        <v>5804</v>
      </c>
      <c r="L31" s="4">
        <v>4259</v>
      </c>
      <c r="M31" s="4">
        <v>4243</v>
      </c>
      <c r="N31" s="4">
        <v>907</v>
      </c>
      <c r="O31" s="3">
        <f t="shared" si="0"/>
        <v>-0.41679289513417705</v>
      </c>
      <c r="P31" s="4">
        <f t="shared" si="1"/>
        <v>23053</v>
      </c>
    </row>
    <row r="32" spans="1:16">
      <c r="A32" s="2" t="s">
        <v>50</v>
      </c>
      <c r="B32" s="2" t="s">
        <v>51</v>
      </c>
      <c r="C32" s="2" t="s">
        <v>18</v>
      </c>
      <c r="D32" s="2" t="s">
        <v>18</v>
      </c>
      <c r="E32" s="2" t="s">
        <v>18</v>
      </c>
      <c r="F32" s="2" t="s">
        <v>18</v>
      </c>
      <c r="G32" s="2" t="s">
        <v>23</v>
      </c>
      <c r="H32" s="2" t="s">
        <v>23</v>
      </c>
      <c r="I32" s="2" t="s">
        <v>23</v>
      </c>
      <c r="J32" s="4">
        <v>128</v>
      </c>
      <c r="K32" s="4">
        <v>416</v>
      </c>
      <c r="L32" s="4">
        <v>747</v>
      </c>
      <c r="M32" s="4">
        <v>1028</v>
      </c>
      <c r="N32" s="4">
        <v>6357</v>
      </c>
      <c r="O32" s="3">
        <f t="shared" si="0"/>
        <v>1.6546701130112136</v>
      </c>
      <c r="P32" s="4">
        <f t="shared" si="1"/>
        <v>8676</v>
      </c>
    </row>
    <row r="33" spans="1:16">
      <c r="A33" s="2" t="s">
        <v>52</v>
      </c>
      <c r="B33" s="2" t="s">
        <v>51</v>
      </c>
      <c r="C33" s="2" t="s">
        <v>18</v>
      </c>
      <c r="D33" s="2" t="s">
        <v>18</v>
      </c>
      <c r="E33" s="2" t="s">
        <v>18</v>
      </c>
      <c r="F33" s="2" t="s">
        <v>18</v>
      </c>
      <c r="G33" s="2" t="s">
        <v>23</v>
      </c>
      <c r="H33" s="2" t="s">
        <v>18</v>
      </c>
      <c r="I33" s="2" t="s">
        <v>23</v>
      </c>
      <c r="J33" s="4">
        <v>299</v>
      </c>
      <c r="K33" s="4">
        <v>657</v>
      </c>
      <c r="L33" s="4">
        <v>6238</v>
      </c>
      <c r="M33" s="4">
        <v>8922</v>
      </c>
      <c r="N33" s="4">
        <v>9081</v>
      </c>
      <c r="O33" s="3">
        <f t="shared" si="0"/>
        <v>1.3475541667800686</v>
      </c>
      <c r="P33" s="4">
        <f t="shared" si="1"/>
        <v>25197</v>
      </c>
    </row>
    <row r="34" spans="1:16">
      <c r="A34" s="2" t="s">
        <v>53</v>
      </c>
      <c r="B34" s="2" t="s">
        <v>51</v>
      </c>
      <c r="C34" s="2" t="s">
        <v>18</v>
      </c>
      <c r="D34" s="2" t="s">
        <v>18</v>
      </c>
      <c r="E34" s="2" t="s">
        <v>18</v>
      </c>
      <c r="F34" s="2" t="s">
        <v>23</v>
      </c>
      <c r="G34" s="2" t="s">
        <v>23</v>
      </c>
      <c r="H34" s="2" t="s">
        <v>18</v>
      </c>
      <c r="I34" s="2" t="s">
        <v>23</v>
      </c>
      <c r="J34" s="4">
        <v>870</v>
      </c>
      <c r="K34" s="4">
        <v>2428</v>
      </c>
      <c r="L34" s="4">
        <v>7386</v>
      </c>
      <c r="M34" s="4">
        <v>8835</v>
      </c>
      <c r="N34" s="4">
        <v>9766</v>
      </c>
      <c r="O34" s="3">
        <f t="shared" ref="O34:O65" si="2">IFERROR((N34/J34)^(1/4)-1,"")</f>
        <v>0.83041416010220881</v>
      </c>
      <c r="P34" s="4">
        <f t="shared" ref="P34:P61" si="3">SUM(J34:N34)</f>
        <v>29285</v>
      </c>
    </row>
    <row r="35" spans="1:16">
      <c r="A35" s="2" t="s">
        <v>54</v>
      </c>
      <c r="B35" s="2" t="s">
        <v>51</v>
      </c>
      <c r="C35" s="2" t="s">
        <v>18</v>
      </c>
      <c r="D35" s="2" t="s">
        <v>23</v>
      </c>
      <c r="E35" s="2" t="s">
        <v>23</v>
      </c>
      <c r="F35" s="2" t="s">
        <v>23</v>
      </c>
      <c r="G35" s="2" t="s">
        <v>23</v>
      </c>
      <c r="H35" s="2" t="s">
        <v>18</v>
      </c>
      <c r="I35" s="2" t="s">
        <v>23</v>
      </c>
      <c r="J35" s="4">
        <v>576</v>
      </c>
      <c r="K35" s="4">
        <v>2628</v>
      </c>
      <c r="L35" s="4">
        <v>3612</v>
      </c>
      <c r="M35" s="4">
        <v>5066</v>
      </c>
      <c r="N35" s="4">
        <v>5156</v>
      </c>
      <c r="O35" s="3">
        <f t="shared" si="2"/>
        <v>0.72970725225475852</v>
      </c>
      <c r="P35" s="4">
        <f t="shared" si="3"/>
        <v>17038</v>
      </c>
    </row>
    <row r="36" spans="1:16">
      <c r="A36" s="2" t="s">
        <v>55</v>
      </c>
      <c r="B36" s="2" t="s">
        <v>51</v>
      </c>
      <c r="C36" s="2" t="s">
        <v>18</v>
      </c>
      <c r="D36" s="2" t="s">
        <v>18</v>
      </c>
      <c r="E36" s="2" t="s">
        <v>18</v>
      </c>
      <c r="F36" s="2" t="s">
        <v>23</v>
      </c>
      <c r="G36" s="2" t="s">
        <v>23</v>
      </c>
      <c r="H36" s="2" t="s">
        <v>18</v>
      </c>
      <c r="I36" s="2" t="s">
        <v>23</v>
      </c>
      <c r="J36" s="4">
        <v>1082</v>
      </c>
      <c r="K36" s="4">
        <v>3353</v>
      </c>
      <c r="L36" s="4">
        <v>6351</v>
      </c>
      <c r="M36" s="4">
        <v>8550</v>
      </c>
      <c r="N36" s="4">
        <v>9272</v>
      </c>
      <c r="O36" s="3">
        <f t="shared" si="2"/>
        <v>0.71094693671276654</v>
      </c>
      <c r="P36" s="4">
        <f t="shared" si="3"/>
        <v>28608</v>
      </c>
    </row>
    <row r="37" spans="1:16">
      <c r="A37" s="2" t="s">
        <v>56</v>
      </c>
      <c r="B37" s="2" t="s">
        <v>51</v>
      </c>
      <c r="C37" s="2" t="s">
        <v>18</v>
      </c>
      <c r="D37" s="2" t="s">
        <v>18</v>
      </c>
      <c r="E37" s="2" t="s">
        <v>18</v>
      </c>
      <c r="F37" s="2" t="s">
        <v>23</v>
      </c>
      <c r="G37" s="2" t="s">
        <v>23</v>
      </c>
      <c r="H37" s="2" t="s">
        <v>23</v>
      </c>
      <c r="I37" s="2" t="s">
        <v>23</v>
      </c>
      <c r="J37" s="4">
        <v>1263</v>
      </c>
      <c r="K37" s="4">
        <v>2517</v>
      </c>
      <c r="L37" s="4">
        <v>8042</v>
      </c>
      <c r="M37" s="4">
        <v>8222</v>
      </c>
      <c r="N37" s="4">
        <v>9686</v>
      </c>
      <c r="O37" s="3">
        <f t="shared" si="2"/>
        <v>0.66412244620782168</v>
      </c>
      <c r="P37" s="4">
        <f t="shared" si="3"/>
        <v>29730</v>
      </c>
    </row>
    <row r="38" spans="1:16">
      <c r="A38" s="2" t="s">
        <v>57</v>
      </c>
      <c r="B38" s="2" t="s">
        <v>51</v>
      </c>
      <c r="C38" s="2" t="s">
        <v>18</v>
      </c>
      <c r="D38" s="2" t="s">
        <v>18</v>
      </c>
      <c r="E38" s="2" t="s">
        <v>18</v>
      </c>
      <c r="F38" s="2" t="s">
        <v>23</v>
      </c>
      <c r="G38" s="2" t="s">
        <v>23</v>
      </c>
      <c r="H38" s="2" t="s">
        <v>23</v>
      </c>
      <c r="I38" s="2" t="s">
        <v>23</v>
      </c>
      <c r="J38" s="4">
        <v>1014</v>
      </c>
      <c r="K38" s="4">
        <v>2254</v>
      </c>
      <c r="L38" s="4">
        <v>4534</v>
      </c>
      <c r="M38" s="4">
        <v>6796</v>
      </c>
      <c r="N38" s="4">
        <v>7730</v>
      </c>
      <c r="O38" s="3">
        <f t="shared" si="2"/>
        <v>0.66163405613342663</v>
      </c>
      <c r="P38" s="4">
        <f t="shared" si="3"/>
        <v>22328</v>
      </c>
    </row>
    <row r="39" spans="1:16">
      <c r="A39" s="2" t="s">
        <v>58</v>
      </c>
      <c r="B39" s="2" t="s">
        <v>51</v>
      </c>
      <c r="C39" s="2" t="s">
        <v>18</v>
      </c>
      <c r="D39" s="2" t="s">
        <v>18</v>
      </c>
      <c r="E39" s="2" t="s">
        <v>18</v>
      </c>
      <c r="F39" s="2" t="s">
        <v>23</v>
      </c>
      <c r="G39" s="2" t="s">
        <v>23</v>
      </c>
      <c r="H39" s="2" t="s">
        <v>18</v>
      </c>
      <c r="I39" s="2" t="s">
        <v>23</v>
      </c>
      <c r="J39" s="4">
        <v>1357</v>
      </c>
      <c r="K39" s="4">
        <v>4189</v>
      </c>
      <c r="L39" s="4">
        <v>5407</v>
      </c>
      <c r="M39" s="4">
        <v>6233</v>
      </c>
      <c r="N39" s="4">
        <v>9681</v>
      </c>
      <c r="O39" s="3">
        <f t="shared" si="2"/>
        <v>0.63431246502429839</v>
      </c>
      <c r="P39" s="4">
        <f t="shared" si="3"/>
        <v>26867</v>
      </c>
    </row>
    <row r="40" spans="1:16">
      <c r="A40" s="2" t="s">
        <v>59</v>
      </c>
      <c r="B40" s="2" t="s">
        <v>51</v>
      </c>
      <c r="C40" s="2" t="s">
        <v>18</v>
      </c>
      <c r="D40" s="2" t="s">
        <v>18</v>
      </c>
      <c r="E40" s="2" t="s">
        <v>18</v>
      </c>
      <c r="F40" s="2" t="s">
        <v>23</v>
      </c>
      <c r="G40" s="2" t="s">
        <v>23</v>
      </c>
      <c r="H40" s="2" t="s">
        <v>18</v>
      </c>
      <c r="I40" s="2" t="s">
        <v>23</v>
      </c>
      <c r="J40" s="4">
        <v>1497</v>
      </c>
      <c r="K40" s="4">
        <v>1768</v>
      </c>
      <c r="L40" s="4">
        <v>2804</v>
      </c>
      <c r="M40" s="4">
        <v>5718</v>
      </c>
      <c r="N40" s="4">
        <v>9822</v>
      </c>
      <c r="O40" s="3">
        <f t="shared" si="2"/>
        <v>0.60045892388204325</v>
      </c>
      <c r="P40" s="4">
        <f t="shared" si="3"/>
        <v>21609</v>
      </c>
    </row>
    <row r="41" spans="1:16">
      <c r="A41" s="2" t="s">
        <v>60</v>
      </c>
      <c r="B41" s="2" t="s">
        <v>51</v>
      </c>
      <c r="C41" s="2" t="s">
        <v>18</v>
      </c>
      <c r="D41" s="2" t="s">
        <v>18</v>
      </c>
      <c r="E41" s="2" t="s">
        <v>18</v>
      </c>
      <c r="F41" s="2" t="s">
        <v>23</v>
      </c>
      <c r="G41" s="2" t="s">
        <v>23</v>
      </c>
      <c r="H41" s="2" t="s">
        <v>23</v>
      </c>
      <c r="I41" s="2" t="s">
        <v>23</v>
      </c>
      <c r="J41" s="4">
        <v>1032</v>
      </c>
      <c r="K41" s="4">
        <v>3919</v>
      </c>
      <c r="L41" s="4">
        <v>4466</v>
      </c>
      <c r="M41" s="4">
        <v>5568</v>
      </c>
      <c r="N41" s="4">
        <v>6476</v>
      </c>
      <c r="O41" s="3">
        <f t="shared" si="2"/>
        <v>0.58272982283102692</v>
      </c>
      <c r="P41" s="4">
        <f t="shared" si="3"/>
        <v>21461</v>
      </c>
    </row>
    <row r="42" spans="1:16">
      <c r="A42" s="2" t="s">
        <v>61</v>
      </c>
      <c r="B42" s="2" t="s">
        <v>51</v>
      </c>
      <c r="C42" s="2" t="s">
        <v>18</v>
      </c>
      <c r="D42" s="2" t="s">
        <v>18</v>
      </c>
      <c r="E42" s="2" t="s">
        <v>18</v>
      </c>
      <c r="F42" s="2" t="s">
        <v>23</v>
      </c>
      <c r="G42" s="2" t="s">
        <v>23</v>
      </c>
      <c r="H42" s="2" t="s">
        <v>18</v>
      </c>
      <c r="I42" s="2" t="s">
        <v>23</v>
      </c>
      <c r="J42" s="4">
        <v>1323</v>
      </c>
      <c r="K42" s="4">
        <v>4963</v>
      </c>
      <c r="L42" s="4">
        <v>6292</v>
      </c>
      <c r="M42" s="4">
        <v>6728</v>
      </c>
      <c r="N42" s="4">
        <v>8202</v>
      </c>
      <c r="O42" s="3">
        <f t="shared" si="2"/>
        <v>0.57793816418173161</v>
      </c>
      <c r="P42" s="4">
        <f t="shared" si="3"/>
        <v>27508</v>
      </c>
    </row>
    <row r="43" spans="1:16">
      <c r="A43" s="2" t="s">
        <v>62</v>
      </c>
      <c r="B43" s="2" t="s">
        <v>51</v>
      </c>
      <c r="C43" s="2" t="s">
        <v>18</v>
      </c>
      <c r="D43" s="2" t="s">
        <v>18</v>
      </c>
      <c r="E43" s="2" t="s">
        <v>23</v>
      </c>
      <c r="F43" s="2" t="s">
        <v>23</v>
      </c>
      <c r="G43" s="2" t="s">
        <v>23</v>
      </c>
      <c r="H43" s="2" t="s">
        <v>18</v>
      </c>
      <c r="I43" s="2" t="s">
        <v>23</v>
      </c>
      <c r="J43" s="4">
        <v>9791</v>
      </c>
      <c r="K43" s="4">
        <v>9610</v>
      </c>
      <c r="L43" s="4">
        <v>7534</v>
      </c>
      <c r="M43" s="4">
        <v>5080</v>
      </c>
      <c r="N43" s="4">
        <v>4936</v>
      </c>
      <c r="O43" s="3">
        <f t="shared" si="2"/>
        <v>-0.15736979056747447</v>
      </c>
      <c r="P43" s="4">
        <f t="shared" si="3"/>
        <v>36951</v>
      </c>
    </row>
    <row r="44" spans="1:16">
      <c r="A44" s="2" t="s">
        <v>63</v>
      </c>
      <c r="B44" s="2" t="s">
        <v>51</v>
      </c>
      <c r="C44" s="2" t="s">
        <v>18</v>
      </c>
      <c r="D44" s="2" t="s">
        <v>23</v>
      </c>
      <c r="E44" s="2" t="s">
        <v>23</v>
      </c>
      <c r="F44" s="2" t="s">
        <v>23</v>
      </c>
      <c r="G44" s="2" t="s">
        <v>23</v>
      </c>
      <c r="H44" s="2" t="s">
        <v>23</v>
      </c>
      <c r="I44" s="2" t="s">
        <v>23</v>
      </c>
      <c r="J44" s="4">
        <v>8034</v>
      </c>
      <c r="K44" s="4">
        <v>6541</v>
      </c>
      <c r="L44" s="4">
        <v>3311</v>
      </c>
      <c r="M44" s="4">
        <v>3254</v>
      </c>
      <c r="N44" s="4">
        <v>2687</v>
      </c>
      <c r="O44" s="3">
        <f t="shared" si="2"/>
        <v>-0.23952671916055424</v>
      </c>
      <c r="P44" s="4">
        <f t="shared" si="3"/>
        <v>23827</v>
      </c>
    </row>
    <row r="45" spans="1:16">
      <c r="A45" s="2" t="s">
        <v>64</v>
      </c>
      <c r="B45" s="2" t="s">
        <v>51</v>
      </c>
      <c r="C45" s="2" t="s">
        <v>18</v>
      </c>
      <c r="D45" s="2" t="s">
        <v>23</v>
      </c>
      <c r="E45" s="2" t="s">
        <v>23</v>
      </c>
      <c r="F45" s="2" t="s">
        <v>23</v>
      </c>
      <c r="G45" s="2" t="s">
        <v>23</v>
      </c>
      <c r="H45" s="2" t="s">
        <v>18</v>
      </c>
      <c r="I45" s="2" t="s">
        <v>23</v>
      </c>
      <c r="J45" s="4">
        <v>8466</v>
      </c>
      <c r="K45" s="4">
        <v>4079</v>
      </c>
      <c r="L45" s="4">
        <v>2797</v>
      </c>
      <c r="M45" s="4">
        <v>2245</v>
      </c>
      <c r="N45" s="4">
        <v>1696</v>
      </c>
      <c r="O45" s="3">
        <f t="shared" si="2"/>
        <v>-0.33098339677163802</v>
      </c>
      <c r="P45" s="4">
        <f t="shared" si="3"/>
        <v>19283</v>
      </c>
    </row>
    <row r="46" spans="1:16">
      <c r="A46" s="2" t="s">
        <v>65</v>
      </c>
      <c r="B46" s="2" t="s">
        <v>51</v>
      </c>
      <c r="C46" s="2" t="s">
        <v>18</v>
      </c>
      <c r="D46" s="2" t="s">
        <v>23</v>
      </c>
      <c r="E46" s="2" t="s">
        <v>23</v>
      </c>
      <c r="F46" s="2" t="s">
        <v>23</v>
      </c>
      <c r="G46" s="2" t="s">
        <v>23</v>
      </c>
      <c r="H46" s="2" t="s">
        <v>18</v>
      </c>
      <c r="I46" s="2" t="s">
        <v>23</v>
      </c>
      <c r="J46" s="4">
        <v>8156</v>
      </c>
      <c r="K46" s="4">
        <v>1245</v>
      </c>
      <c r="L46" s="4">
        <v>791</v>
      </c>
      <c r="M46" s="4">
        <v>338</v>
      </c>
      <c r="N46" s="4">
        <v>44</v>
      </c>
      <c r="O46" s="3">
        <f t="shared" si="2"/>
        <v>-0.72898466539472961</v>
      </c>
      <c r="P46" s="4">
        <f t="shared" si="3"/>
        <v>10574</v>
      </c>
    </row>
    <row r="47" spans="1:16">
      <c r="A47" s="2" t="s">
        <v>66</v>
      </c>
      <c r="B47" s="2" t="s">
        <v>67</v>
      </c>
      <c r="C47" s="2" t="s">
        <v>18</v>
      </c>
      <c r="D47" s="2" t="s">
        <v>18</v>
      </c>
      <c r="E47" s="2" t="s">
        <v>23</v>
      </c>
      <c r="F47" s="2" t="s">
        <v>18</v>
      </c>
      <c r="G47" s="2" t="s">
        <v>23</v>
      </c>
      <c r="H47" s="2" t="s">
        <v>18</v>
      </c>
      <c r="I47" s="2" t="s">
        <v>23</v>
      </c>
      <c r="J47" s="4">
        <v>73</v>
      </c>
      <c r="K47" s="4">
        <v>3485</v>
      </c>
      <c r="L47" s="4">
        <v>4592</v>
      </c>
      <c r="M47" s="4">
        <v>5143</v>
      </c>
      <c r="N47" s="4">
        <v>8100</v>
      </c>
      <c r="O47" s="3">
        <f t="shared" si="2"/>
        <v>2.2455667067018901</v>
      </c>
      <c r="P47" s="4">
        <f t="shared" si="3"/>
        <v>21393</v>
      </c>
    </row>
    <row r="48" spans="1:16">
      <c r="A48" s="2" t="s">
        <v>68</v>
      </c>
      <c r="B48" s="2" t="s">
        <v>67</v>
      </c>
      <c r="C48" s="2" t="s">
        <v>18</v>
      </c>
      <c r="D48" s="2" t="s">
        <v>18</v>
      </c>
      <c r="E48" s="2" t="s">
        <v>23</v>
      </c>
      <c r="F48" s="2" t="s">
        <v>18</v>
      </c>
      <c r="G48" s="2" t="s">
        <v>18</v>
      </c>
      <c r="H48" s="2" t="s">
        <v>18</v>
      </c>
      <c r="I48" s="2" t="s">
        <v>23</v>
      </c>
      <c r="J48" s="4">
        <v>209</v>
      </c>
      <c r="K48" s="4">
        <v>621</v>
      </c>
      <c r="L48" s="4">
        <v>3098</v>
      </c>
      <c r="M48" s="4">
        <v>7118</v>
      </c>
      <c r="N48" s="4">
        <v>8433</v>
      </c>
      <c r="O48" s="3">
        <f t="shared" si="2"/>
        <v>1.5203389637502625</v>
      </c>
      <c r="P48" s="4">
        <f t="shared" si="3"/>
        <v>19479</v>
      </c>
    </row>
    <row r="49" spans="1:16">
      <c r="A49" s="2" t="s">
        <v>69</v>
      </c>
      <c r="B49" s="2" t="s">
        <v>67</v>
      </c>
      <c r="C49" s="2" t="s">
        <v>18</v>
      </c>
      <c r="D49" s="2" t="s">
        <v>18</v>
      </c>
      <c r="E49" s="2" t="s">
        <v>23</v>
      </c>
      <c r="F49" s="2" t="s">
        <v>18</v>
      </c>
      <c r="G49" s="2" t="s">
        <v>23</v>
      </c>
      <c r="H49" s="2" t="s">
        <v>18</v>
      </c>
      <c r="I49" s="2" t="s">
        <v>23</v>
      </c>
      <c r="J49" s="4">
        <v>238</v>
      </c>
      <c r="K49" s="4">
        <v>1235</v>
      </c>
      <c r="L49" s="4">
        <v>1822</v>
      </c>
      <c r="M49" s="4">
        <v>7074</v>
      </c>
      <c r="N49" s="4">
        <v>8207</v>
      </c>
      <c r="O49" s="3">
        <f t="shared" si="2"/>
        <v>1.4232703532020747</v>
      </c>
      <c r="P49" s="4">
        <f t="shared" si="3"/>
        <v>18576</v>
      </c>
    </row>
    <row r="50" spans="1:16">
      <c r="A50" s="2" t="s">
        <v>70</v>
      </c>
      <c r="B50" s="2" t="s">
        <v>67</v>
      </c>
      <c r="C50" s="2" t="s">
        <v>18</v>
      </c>
      <c r="D50" s="2" t="s">
        <v>18</v>
      </c>
      <c r="E50" s="2" t="s">
        <v>23</v>
      </c>
      <c r="F50" s="2" t="s">
        <v>18</v>
      </c>
      <c r="G50" s="2" t="s">
        <v>18</v>
      </c>
      <c r="H50" s="2" t="s">
        <v>18</v>
      </c>
      <c r="I50" s="2" t="s">
        <v>23</v>
      </c>
      <c r="J50" s="4">
        <v>570</v>
      </c>
      <c r="K50" s="4">
        <v>1322</v>
      </c>
      <c r="L50" s="4">
        <v>7279</v>
      </c>
      <c r="M50" s="4">
        <v>8443</v>
      </c>
      <c r="N50" s="4">
        <v>9571</v>
      </c>
      <c r="O50" s="3">
        <f t="shared" si="2"/>
        <v>1.0242801438529217</v>
      </c>
      <c r="P50" s="4">
        <f t="shared" si="3"/>
        <v>27185</v>
      </c>
    </row>
    <row r="51" spans="1:16">
      <c r="A51" s="2" t="s">
        <v>71</v>
      </c>
      <c r="B51" s="2" t="s">
        <v>67</v>
      </c>
      <c r="C51" s="2" t="s">
        <v>18</v>
      </c>
      <c r="D51" s="2" t="s">
        <v>18</v>
      </c>
      <c r="E51" s="2" t="s">
        <v>23</v>
      </c>
      <c r="F51" s="2" t="s">
        <v>18</v>
      </c>
      <c r="G51" s="2" t="s">
        <v>23</v>
      </c>
      <c r="H51" s="2" t="s">
        <v>18</v>
      </c>
      <c r="I51" s="2" t="s">
        <v>23</v>
      </c>
      <c r="J51" s="4">
        <v>700</v>
      </c>
      <c r="K51" s="4">
        <v>5721</v>
      </c>
      <c r="L51" s="4">
        <v>6247</v>
      </c>
      <c r="M51" s="4">
        <v>8495</v>
      </c>
      <c r="N51" s="4">
        <v>9236</v>
      </c>
      <c r="O51" s="3">
        <f t="shared" si="2"/>
        <v>0.90588403033885334</v>
      </c>
      <c r="P51" s="4">
        <f t="shared" si="3"/>
        <v>30399</v>
      </c>
    </row>
    <row r="52" spans="1:16">
      <c r="A52" s="2" t="s">
        <v>72</v>
      </c>
      <c r="B52" s="2" t="s">
        <v>67</v>
      </c>
      <c r="C52" s="2" t="s">
        <v>18</v>
      </c>
      <c r="D52" s="2" t="s">
        <v>18</v>
      </c>
      <c r="E52" s="2" t="s">
        <v>23</v>
      </c>
      <c r="F52" s="2" t="s">
        <v>18</v>
      </c>
      <c r="G52" s="2" t="s">
        <v>23</v>
      </c>
      <c r="H52" s="2" t="s">
        <v>18</v>
      </c>
      <c r="I52" s="2" t="s">
        <v>23</v>
      </c>
      <c r="J52" s="4">
        <v>712</v>
      </c>
      <c r="K52" s="4">
        <v>4182</v>
      </c>
      <c r="L52" s="4">
        <v>6087</v>
      </c>
      <c r="M52" s="4">
        <v>7494</v>
      </c>
      <c r="N52" s="4">
        <v>8599</v>
      </c>
      <c r="O52" s="3">
        <f t="shared" si="2"/>
        <v>0.86419779018759768</v>
      </c>
      <c r="P52" s="4">
        <f t="shared" si="3"/>
        <v>27074</v>
      </c>
    </row>
    <row r="53" spans="1:16">
      <c r="A53" s="2" t="s">
        <v>73</v>
      </c>
      <c r="B53" s="2" t="s">
        <v>67</v>
      </c>
      <c r="C53" s="2" t="s">
        <v>18</v>
      </c>
      <c r="D53" s="2" t="s">
        <v>18</v>
      </c>
      <c r="E53" s="2" t="s">
        <v>23</v>
      </c>
      <c r="F53" s="2" t="s">
        <v>18</v>
      </c>
      <c r="G53" s="2" t="s">
        <v>23</v>
      </c>
      <c r="H53" s="2" t="s">
        <v>18</v>
      </c>
      <c r="I53" s="2" t="s">
        <v>23</v>
      </c>
      <c r="J53" s="4">
        <v>1368</v>
      </c>
      <c r="K53" s="4">
        <v>3447</v>
      </c>
      <c r="L53" s="4">
        <v>4535</v>
      </c>
      <c r="M53" s="4">
        <v>5476</v>
      </c>
      <c r="N53" s="4">
        <v>9983</v>
      </c>
      <c r="O53" s="3">
        <f t="shared" si="2"/>
        <v>0.64359095818904954</v>
      </c>
      <c r="P53" s="4">
        <f t="shared" si="3"/>
        <v>24809</v>
      </c>
    </row>
    <row r="54" spans="1:16">
      <c r="A54" s="2" t="s">
        <v>74</v>
      </c>
      <c r="B54" s="2" t="s">
        <v>67</v>
      </c>
      <c r="C54" s="2" t="s">
        <v>18</v>
      </c>
      <c r="D54" s="2" t="s">
        <v>18</v>
      </c>
      <c r="E54" s="2" t="s">
        <v>23</v>
      </c>
      <c r="F54" s="2" t="s">
        <v>18</v>
      </c>
      <c r="G54" s="2" t="s">
        <v>18</v>
      </c>
      <c r="H54" s="2" t="s">
        <v>18</v>
      </c>
      <c r="I54" s="2" t="s">
        <v>23</v>
      </c>
      <c r="J54" s="4">
        <v>1779</v>
      </c>
      <c r="K54" s="4">
        <v>2124</v>
      </c>
      <c r="L54" s="4">
        <v>2844</v>
      </c>
      <c r="M54" s="4">
        <v>6877</v>
      </c>
      <c r="N54" s="4">
        <v>9570</v>
      </c>
      <c r="O54" s="3">
        <f t="shared" si="2"/>
        <v>0.52294422157633269</v>
      </c>
      <c r="P54" s="4">
        <f t="shared" si="3"/>
        <v>23194</v>
      </c>
    </row>
    <row r="55" spans="1:16">
      <c r="A55" s="2" t="s">
        <v>75</v>
      </c>
      <c r="B55" s="2" t="s">
        <v>67</v>
      </c>
      <c r="C55" s="2" t="s">
        <v>18</v>
      </c>
      <c r="D55" s="2" t="s">
        <v>18</v>
      </c>
      <c r="E55" s="2" t="s">
        <v>23</v>
      </c>
      <c r="F55" s="2" t="s">
        <v>23</v>
      </c>
      <c r="G55" s="2" t="s">
        <v>23</v>
      </c>
      <c r="H55" s="2" t="s">
        <v>23</v>
      </c>
      <c r="I55" s="2" t="s">
        <v>23</v>
      </c>
      <c r="J55" s="4">
        <v>3501</v>
      </c>
      <c r="K55" s="4">
        <v>7079</v>
      </c>
      <c r="L55" s="4">
        <v>7438</v>
      </c>
      <c r="M55" s="4">
        <v>7443</v>
      </c>
      <c r="N55" s="4">
        <v>9225</v>
      </c>
      <c r="O55" s="3">
        <f t="shared" si="2"/>
        <v>0.27407081068210992</v>
      </c>
      <c r="P55" s="4">
        <f t="shared" si="3"/>
        <v>34686</v>
      </c>
    </row>
    <row r="56" spans="1:16">
      <c r="A56" s="2" t="s">
        <v>76</v>
      </c>
      <c r="B56" s="2" t="s">
        <v>67</v>
      </c>
      <c r="C56" s="2" t="s">
        <v>18</v>
      </c>
      <c r="D56" s="2" t="s">
        <v>18</v>
      </c>
      <c r="E56" s="2" t="s">
        <v>23</v>
      </c>
      <c r="F56" s="2" t="s">
        <v>23</v>
      </c>
      <c r="G56" s="2" t="s">
        <v>23</v>
      </c>
      <c r="H56" s="2" t="s">
        <v>23</v>
      </c>
      <c r="I56" s="2" t="s">
        <v>23</v>
      </c>
      <c r="J56" s="4">
        <v>2390</v>
      </c>
      <c r="K56" s="4">
        <v>2415</v>
      </c>
      <c r="L56" s="4">
        <v>3461</v>
      </c>
      <c r="M56" s="4">
        <v>3850</v>
      </c>
      <c r="N56" s="4">
        <v>4657</v>
      </c>
      <c r="O56" s="3">
        <f t="shared" si="2"/>
        <v>0.18148193130433588</v>
      </c>
      <c r="P56" s="4">
        <f t="shared" si="3"/>
        <v>16773</v>
      </c>
    </row>
    <row r="57" spans="1:16">
      <c r="A57" s="2" t="s">
        <v>77</v>
      </c>
      <c r="B57" s="2" t="s">
        <v>67</v>
      </c>
      <c r="C57" s="2" t="s">
        <v>18</v>
      </c>
      <c r="D57" s="2" t="s">
        <v>18</v>
      </c>
      <c r="E57" s="2" t="s">
        <v>23</v>
      </c>
      <c r="F57" s="2" t="s">
        <v>23</v>
      </c>
      <c r="G57" s="2" t="s">
        <v>23</v>
      </c>
      <c r="H57" s="2" t="s">
        <v>23</v>
      </c>
      <c r="I57" s="2" t="s">
        <v>23</v>
      </c>
      <c r="J57" s="4">
        <v>3916</v>
      </c>
      <c r="K57" s="4">
        <v>4218</v>
      </c>
      <c r="L57" s="4">
        <v>5072</v>
      </c>
      <c r="M57" s="4">
        <v>5201</v>
      </c>
      <c r="N57" s="4">
        <v>7588</v>
      </c>
      <c r="O57" s="3">
        <f t="shared" si="2"/>
        <v>0.17983468576187267</v>
      </c>
      <c r="P57" s="4">
        <f t="shared" si="3"/>
        <v>25995</v>
      </c>
    </row>
    <row r="58" spans="1:16">
      <c r="A58" s="2" t="s">
        <v>78</v>
      </c>
      <c r="B58" s="2" t="s">
        <v>67</v>
      </c>
      <c r="C58" s="2" t="s">
        <v>18</v>
      </c>
      <c r="D58" s="2" t="s">
        <v>18</v>
      </c>
      <c r="E58" s="2" t="s">
        <v>23</v>
      </c>
      <c r="F58" s="2" t="s">
        <v>23</v>
      </c>
      <c r="G58" s="2" t="s">
        <v>23</v>
      </c>
      <c r="H58" s="2" t="s">
        <v>23</v>
      </c>
      <c r="I58" s="2" t="s">
        <v>23</v>
      </c>
      <c r="J58" s="4">
        <v>6309</v>
      </c>
      <c r="K58" s="4">
        <v>6227</v>
      </c>
      <c r="L58" s="4">
        <v>5123</v>
      </c>
      <c r="M58" s="4">
        <v>4968</v>
      </c>
      <c r="N58" s="4">
        <v>3857</v>
      </c>
      <c r="O58" s="3">
        <f t="shared" si="2"/>
        <v>-0.11575568185753915</v>
      </c>
      <c r="P58" s="4">
        <f t="shared" si="3"/>
        <v>26484</v>
      </c>
    </row>
    <row r="59" spans="1:16">
      <c r="A59" s="2" t="s">
        <v>79</v>
      </c>
      <c r="B59" s="2" t="s">
        <v>67</v>
      </c>
      <c r="C59" s="2" t="s">
        <v>18</v>
      </c>
      <c r="D59" s="2" t="s">
        <v>18</v>
      </c>
      <c r="E59" s="2" t="s">
        <v>23</v>
      </c>
      <c r="F59" s="2" t="s">
        <v>23</v>
      </c>
      <c r="G59" s="2" t="s">
        <v>23</v>
      </c>
      <c r="H59" s="2" t="s">
        <v>23</v>
      </c>
      <c r="I59" s="2" t="s">
        <v>23</v>
      </c>
      <c r="J59" s="4">
        <v>9773</v>
      </c>
      <c r="K59" s="4">
        <v>9179</v>
      </c>
      <c r="L59" s="4">
        <v>8390</v>
      </c>
      <c r="M59" s="4">
        <v>8256</v>
      </c>
      <c r="N59" s="4">
        <v>3815</v>
      </c>
      <c r="O59" s="3">
        <f t="shared" si="2"/>
        <v>-0.20956409258224717</v>
      </c>
      <c r="P59" s="4">
        <f t="shared" si="3"/>
        <v>39413</v>
      </c>
    </row>
    <row r="60" spans="1:16">
      <c r="A60" s="2" t="s">
        <v>80</v>
      </c>
      <c r="B60" s="2" t="s">
        <v>67</v>
      </c>
      <c r="C60" s="2" t="s">
        <v>18</v>
      </c>
      <c r="D60" s="2" t="s">
        <v>23</v>
      </c>
      <c r="E60" s="2" t="s">
        <v>23</v>
      </c>
      <c r="F60" s="2" t="s">
        <v>23</v>
      </c>
      <c r="G60" s="2" t="s">
        <v>18</v>
      </c>
      <c r="H60" s="2" t="s">
        <v>23</v>
      </c>
      <c r="I60" s="2" t="s">
        <v>23</v>
      </c>
      <c r="J60" s="4">
        <v>6156</v>
      </c>
      <c r="K60" s="4">
        <v>6110</v>
      </c>
      <c r="L60" s="4">
        <v>5791</v>
      </c>
      <c r="M60" s="4">
        <v>1759</v>
      </c>
      <c r="N60" s="4">
        <v>969</v>
      </c>
      <c r="O60" s="3">
        <f t="shared" si="2"/>
        <v>-0.37012221518144006</v>
      </c>
      <c r="P60" s="4">
        <f t="shared" si="3"/>
        <v>20785</v>
      </c>
    </row>
    <row r="61" spans="1:16">
      <c r="A61" s="2" t="s">
        <v>81</v>
      </c>
      <c r="B61" s="2" t="s">
        <v>67</v>
      </c>
      <c r="C61" s="2" t="s">
        <v>18</v>
      </c>
      <c r="D61" s="2" t="s">
        <v>23</v>
      </c>
      <c r="E61" s="2" t="s">
        <v>23</v>
      </c>
      <c r="F61" s="2" t="s">
        <v>23</v>
      </c>
      <c r="G61" s="2" t="s">
        <v>18</v>
      </c>
      <c r="H61" s="2" t="s">
        <v>23</v>
      </c>
      <c r="I61" s="2" t="s">
        <v>23</v>
      </c>
      <c r="J61" s="4">
        <v>8331</v>
      </c>
      <c r="K61" s="4">
        <v>7667</v>
      </c>
      <c r="L61" s="4">
        <v>5952</v>
      </c>
      <c r="M61" s="4">
        <v>1998</v>
      </c>
      <c r="N61" s="4">
        <v>375</v>
      </c>
      <c r="O61" s="3">
        <f t="shared" si="2"/>
        <v>-0.53938981874158332</v>
      </c>
      <c r="P61" s="4">
        <f t="shared" si="3"/>
        <v>24323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opLeftCell="L1" zoomScaleNormal="60" zoomScaleSheetLayoutView="100" workbookViewId="0">
      <selection activeCell="AA1" sqref="AA1"/>
    </sheetView>
  </sheetViews>
  <sheetFormatPr defaultRowHeight="14.25"/>
  <cols>
    <col min="1" max="1" width="22" customWidth="1"/>
    <col min="2" max="7" width="14" customWidth="1"/>
    <col min="9" max="9" width="22" customWidth="1"/>
    <col min="10" max="10" width="14" customWidth="1"/>
    <col min="12" max="12" width="22" customWidth="1"/>
    <col min="13" max="13" width="14" customWidth="1"/>
  </cols>
  <sheetData>
    <row r="1" spans="1:13">
      <c r="A1" s="13" t="s">
        <v>82</v>
      </c>
      <c r="B1" s="13"/>
      <c r="C1" s="13"/>
      <c r="D1" s="13"/>
      <c r="E1" s="13"/>
      <c r="F1" s="13"/>
      <c r="G1" s="13"/>
      <c r="H1" s="2"/>
      <c r="I1" s="2"/>
      <c r="J1" s="2"/>
      <c r="K1" s="2"/>
      <c r="L1" s="2"/>
      <c r="M1" s="2"/>
    </row>
    <row r="2" spans="1:1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s="1" t="s">
        <v>1</v>
      </c>
      <c r="B3" s="1" t="s">
        <v>83</v>
      </c>
      <c r="C3" s="1" t="s">
        <v>84</v>
      </c>
      <c r="D3" s="1" t="s">
        <v>85</v>
      </c>
      <c r="E3" s="1" t="s">
        <v>86</v>
      </c>
      <c r="F3" s="1" t="s">
        <v>87</v>
      </c>
      <c r="G3" s="1" t="s">
        <v>15</v>
      </c>
      <c r="H3" s="2"/>
      <c r="I3" s="1" t="s">
        <v>88</v>
      </c>
      <c r="J3" s="1" t="s">
        <v>89</v>
      </c>
      <c r="K3" s="2"/>
      <c r="L3" s="1" t="s">
        <v>90</v>
      </c>
      <c r="M3" s="1" t="s">
        <v>91</v>
      </c>
    </row>
    <row r="4" spans="1:13">
      <c r="A4" s="2" t="s">
        <v>17</v>
      </c>
      <c r="B4" s="4">
        <f>SUMIF('Clean Data'!$B$2:$B$61,$A4,'Clean Data'!$J$2:$J$61)</f>
        <v>51804</v>
      </c>
      <c r="C4" s="4">
        <f>SUMIF('Clean Data'!$B$2:$B$61,$A4,'Clean Data'!$K$2:$K$61)</f>
        <v>60121</v>
      </c>
      <c r="D4" s="4">
        <f>SUMIF('Clean Data'!$B$2:$B$61,$A4,'Clean Data'!$L$2:$L$61)</f>
        <v>60760</v>
      </c>
      <c r="E4" s="4">
        <f>SUMIF('Clean Data'!$B$2:$B$61,$A4,'Clean Data'!$M$2:$M$61)</f>
        <v>75991</v>
      </c>
      <c r="F4" s="4">
        <f>SUMIF('Clean Data'!$B$2:$B$61,$A4,'Clean Data'!$N$2:$N$61)</f>
        <v>94147</v>
      </c>
      <c r="G4" s="4">
        <f>SUM(B4:F4)</f>
        <v>342823</v>
      </c>
      <c r="H4" s="2"/>
      <c r="I4" s="2" t="s">
        <v>3</v>
      </c>
      <c r="J4" s="2">
        <f>COUNTIF('Clean Data'!$D$2:$D$61,"Yes")</f>
        <v>48</v>
      </c>
      <c r="K4" s="2"/>
      <c r="L4" s="2" t="s">
        <v>89</v>
      </c>
      <c r="M4" s="2">
        <f>COUNTA('Clean Data'!A2:A61)</f>
        <v>60</v>
      </c>
    </row>
    <row r="5" spans="1:13">
      <c r="A5" s="2" t="s">
        <v>35</v>
      </c>
      <c r="B5" s="4">
        <f>SUMIF('Clean Data'!$B$2:$B$61,$A5,'Clean Data'!$J$2:$J$61)</f>
        <v>47259</v>
      </c>
      <c r="C5" s="4">
        <f>SUMIF('Clean Data'!$B$2:$B$61,$A5,'Clean Data'!$K$2:$K$61)</f>
        <v>67275</v>
      </c>
      <c r="D5" s="4">
        <f>SUMIF('Clean Data'!$B$2:$B$61,$A5,'Clean Data'!$L$2:$L$61)</f>
        <v>79646</v>
      </c>
      <c r="E5" s="4">
        <f>SUMIF('Clean Data'!$B$2:$B$61,$A5,'Clean Data'!$M$2:$M$61)</f>
        <v>102065</v>
      </c>
      <c r="F5" s="4">
        <f>SUMIF('Clean Data'!$B$2:$B$61,$A5,'Clean Data'!$N$2:$N$61)</f>
        <v>112270</v>
      </c>
      <c r="G5" s="4">
        <f>SUM(B5:F5)</f>
        <v>408515</v>
      </c>
      <c r="H5" s="2"/>
      <c r="I5" s="2" t="s">
        <v>4</v>
      </c>
      <c r="J5" s="2">
        <f>COUNTIF('Clean Data'!$E$2:$E$61,"Yes")</f>
        <v>30</v>
      </c>
      <c r="K5" s="2"/>
      <c r="L5" s="2" t="s">
        <v>92</v>
      </c>
      <c r="M5" s="4">
        <f>SUM('Clean Data'!P2:P61)</f>
        <v>1480848</v>
      </c>
    </row>
    <row r="6" spans="1:13">
      <c r="A6" s="2" t="s">
        <v>51</v>
      </c>
      <c r="B6" s="4">
        <f>SUMIF('Clean Data'!$B$2:$B$61,$A6,'Clean Data'!$J$2:$J$61)</f>
        <v>44888</v>
      </c>
      <c r="C6" s="4">
        <f>SUMIF('Clean Data'!$B$2:$B$61,$A6,'Clean Data'!$K$2:$K$61)</f>
        <v>50567</v>
      </c>
      <c r="D6" s="4">
        <f>SUMIF('Clean Data'!$B$2:$B$61,$A6,'Clean Data'!$L$2:$L$61)</f>
        <v>70312</v>
      </c>
      <c r="E6" s="4">
        <f>SUMIF('Clean Data'!$B$2:$B$61,$A6,'Clean Data'!$M$2:$M$61)</f>
        <v>82583</v>
      </c>
      <c r="F6" s="4">
        <f>SUMIF('Clean Data'!$B$2:$B$61,$A6,'Clean Data'!$N$2:$N$61)</f>
        <v>100592</v>
      </c>
      <c r="G6" s="4">
        <f>SUM(B6:F6)</f>
        <v>348942</v>
      </c>
      <c r="H6" s="2"/>
      <c r="I6" s="2" t="s">
        <v>5</v>
      </c>
      <c r="J6" s="2">
        <f>COUNTIF('Clean Data'!$F$2:$F$61,"Yes")</f>
        <v>26</v>
      </c>
      <c r="K6" s="2"/>
      <c r="L6" s="2" t="s">
        <v>13</v>
      </c>
      <c r="M6" s="4">
        <f>SUM('Clean Data'!N2:N61)</f>
        <v>409194</v>
      </c>
    </row>
    <row r="7" spans="1:13">
      <c r="A7" s="2" t="s">
        <v>67</v>
      </c>
      <c r="B7" s="4">
        <f>SUMIF('Clean Data'!$B$2:$B$61,$A7,'Clean Data'!$J$2:$J$61)</f>
        <v>46025</v>
      </c>
      <c r="C7" s="4">
        <f>SUMIF('Clean Data'!$B$2:$B$61,$A7,'Clean Data'!$K$2:$K$61)</f>
        <v>65032</v>
      </c>
      <c r="D7" s="4">
        <f>SUMIF('Clean Data'!$B$2:$B$61,$A7,'Clean Data'!$L$2:$L$61)</f>
        <v>77731</v>
      </c>
      <c r="E7" s="4">
        <f>SUMIF('Clean Data'!$B$2:$B$61,$A7,'Clean Data'!$M$2:$M$61)</f>
        <v>89595</v>
      </c>
      <c r="F7" s="4">
        <f>SUMIF('Clean Data'!$B$2:$B$61,$A7,'Clean Data'!$N$2:$N$61)</f>
        <v>102185</v>
      </c>
      <c r="G7" s="4">
        <f>SUM(B7:F7)</f>
        <v>380568</v>
      </c>
      <c r="H7" s="2"/>
      <c r="I7" s="2" t="s">
        <v>6</v>
      </c>
      <c r="J7" s="2">
        <f>COUNTIF('Clean Data'!$G$2:$G$61,"Yes")</f>
        <v>20</v>
      </c>
      <c r="K7" s="2"/>
      <c r="L7" s="2" t="s">
        <v>93</v>
      </c>
      <c r="M7" s="2" t="str">
        <f>INDEX(A4:A7,MATCH(MAX(G4:G7),G4:G7,0))</f>
        <v>Club</v>
      </c>
    </row>
    <row r="8" spans="1:13">
      <c r="A8" s="5" t="s">
        <v>94</v>
      </c>
      <c r="B8" s="6">
        <f t="shared" ref="B8:G8" si="0">SUM(B4:B7)</f>
        <v>189976</v>
      </c>
      <c r="C8" s="6">
        <f t="shared" si="0"/>
        <v>242995</v>
      </c>
      <c r="D8" s="6">
        <f t="shared" si="0"/>
        <v>288449</v>
      </c>
      <c r="E8" s="6">
        <f t="shared" si="0"/>
        <v>350234</v>
      </c>
      <c r="F8" s="6">
        <f t="shared" si="0"/>
        <v>409194</v>
      </c>
      <c r="G8" s="6">
        <f t="shared" si="0"/>
        <v>1480848</v>
      </c>
      <c r="H8" s="2"/>
      <c r="I8" s="2" t="s">
        <v>7</v>
      </c>
      <c r="J8" s="2">
        <f>COUNTIF('Clean Data'!$H$2:$H$61,"Yes")</f>
        <v>42</v>
      </c>
      <c r="K8" s="2"/>
      <c r="L8" s="2"/>
      <c r="M8" s="2"/>
    </row>
    <row r="9" spans="1:13">
      <c r="A9" s="2"/>
      <c r="B9" s="2"/>
      <c r="C9" s="2"/>
      <c r="D9" s="2"/>
      <c r="E9" s="2"/>
      <c r="F9" s="2"/>
      <c r="G9" s="2"/>
      <c r="H9" s="2"/>
      <c r="I9" s="2" t="s">
        <v>8</v>
      </c>
      <c r="J9" s="2">
        <f>COUNTIF('Clean Data'!$I$2:$I$61,"Yes")</f>
        <v>17</v>
      </c>
      <c r="K9" s="2"/>
      <c r="L9" s="2"/>
      <c r="M9" s="2"/>
    </row>
    <row r="10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zoomScaleNormal="60" zoomScaleSheetLayoutView="100" workbookViewId="0">
      <selection sqref="A1:L2"/>
    </sheetView>
  </sheetViews>
  <sheetFormatPr defaultRowHeight="14.25"/>
  <cols>
    <col min="1" max="12" width="12" customWidth="1"/>
  </cols>
  <sheetData>
    <row r="1" spans="1:12" ht="27.95" customHeight="1">
      <c r="A1" s="15" t="s">
        <v>95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ht="27.95" customHeigh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spans="1:1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16" t="str">
        <f>"Total Sales"&amp;CHAR(10)&amp;TEXT(Analysis!M5,"#,##0")</f>
        <v>Total Sales
1,480,848</v>
      </c>
      <c r="B4" s="16"/>
      <c r="C4" s="16"/>
      <c r="D4" s="2"/>
      <c r="E4" s="16" t="str">
        <f>"2021 Sales"&amp;CHAR(10)&amp;TEXT(Analysis!M6,"#,##0")</f>
        <v>2021 Sales
409,194</v>
      </c>
      <c r="F4" s="16"/>
      <c r="G4" s="16"/>
      <c r="H4" s="2"/>
      <c r="I4" s="16" t="str">
        <f>"Top Segment"&amp;CHAR(10)&amp;Analysis!M7</f>
        <v>Top Segment
Club</v>
      </c>
      <c r="J4" s="16"/>
      <c r="K4" s="16"/>
      <c r="L4" s="2"/>
    </row>
    <row r="5" spans="1:12">
      <c r="A5" s="16"/>
      <c r="B5" s="16"/>
      <c r="C5" s="16"/>
      <c r="D5" s="2"/>
      <c r="E5" s="16"/>
      <c r="F5" s="16"/>
      <c r="G5" s="16"/>
      <c r="H5" s="2"/>
      <c r="I5" s="16"/>
      <c r="J5" s="16"/>
      <c r="K5" s="16"/>
      <c r="L5" s="2"/>
    </row>
    <row r="6" spans="1:12">
      <c r="A6" s="16"/>
      <c r="B6" s="16"/>
      <c r="C6" s="16"/>
      <c r="D6" s="2"/>
      <c r="E6" s="16"/>
      <c r="F6" s="16"/>
      <c r="G6" s="16"/>
      <c r="H6" s="2"/>
      <c r="I6" s="16"/>
      <c r="J6" s="16"/>
      <c r="K6" s="16"/>
      <c r="L6" s="2"/>
    </row>
    <row r="7" spans="1:1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  <row r="25" spans="1:12">
      <c r="A25" s="2"/>
      <c r="B25" s="2"/>
      <c r="C25" s="2"/>
      <c r="D25" s="2"/>
      <c r="E25" s="2"/>
      <c r="F25" s="2"/>
      <c r="G25" s="17" t="s">
        <v>96</v>
      </c>
      <c r="H25" s="17"/>
      <c r="I25" s="17"/>
      <c r="J25" s="17"/>
      <c r="K25" s="17"/>
      <c r="L25" s="17"/>
    </row>
    <row r="26" spans="1:12">
      <c r="A26" s="2"/>
      <c r="B26" s="2"/>
      <c r="C26" s="2"/>
      <c r="D26" s="2"/>
      <c r="E26" s="2"/>
      <c r="F26" s="2"/>
      <c r="G26" s="14" t="s">
        <v>97</v>
      </c>
      <c r="H26" s="14"/>
      <c r="I26" s="14"/>
      <c r="J26" s="14"/>
      <c r="K26" s="14"/>
      <c r="L26" s="14"/>
    </row>
    <row r="27" spans="1:12">
      <c r="A27" s="2"/>
      <c r="B27" s="2"/>
      <c r="C27" s="2"/>
      <c r="D27" s="2"/>
      <c r="E27" s="2"/>
      <c r="F27" s="2"/>
      <c r="G27" s="14"/>
      <c r="H27" s="14"/>
      <c r="I27" s="14"/>
      <c r="J27" s="14"/>
      <c r="K27" s="14"/>
      <c r="L27" s="14"/>
    </row>
    <row r="28" spans="1:12">
      <c r="A28" s="2"/>
      <c r="B28" s="2"/>
      <c r="C28" s="2"/>
      <c r="D28" s="2"/>
      <c r="E28" s="2"/>
      <c r="F28" s="2"/>
      <c r="G28" s="14"/>
      <c r="H28" s="14"/>
      <c r="I28" s="14"/>
      <c r="J28" s="14"/>
      <c r="K28" s="14"/>
      <c r="L28" s="14"/>
    </row>
    <row r="29" spans="1:12">
      <c r="A29" s="2"/>
      <c r="B29" s="2"/>
      <c r="C29" s="2"/>
      <c r="D29" s="2"/>
      <c r="E29" s="2"/>
      <c r="F29" s="2"/>
      <c r="G29" s="14"/>
      <c r="H29" s="14"/>
      <c r="I29" s="14"/>
      <c r="J29" s="14"/>
      <c r="K29" s="14"/>
      <c r="L29" s="14"/>
    </row>
    <row r="30" spans="1:12">
      <c r="A30" s="2"/>
      <c r="B30" s="2"/>
      <c r="C30" s="2"/>
      <c r="D30" s="2"/>
      <c r="E30" s="2"/>
      <c r="F30" s="2"/>
      <c r="G30" s="14"/>
      <c r="H30" s="14"/>
      <c r="I30" s="14"/>
      <c r="J30" s="14"/>
      <c r="K30" s="14"/>
      <c r="L30" s="14"/>
    </row>
    <row r="31" spans="1:12">
      <c r="A31" s="2"/>
      <c r="B31" s="2"/>
      <c r="C31" s="2"/>
      <c r="D31" s="2"/>
      <c r="E31" s="2"/>
      <c r="F31" s="2"/>
      <c r="G31" s="14"/>
      <c r="H31" s="14"/>
      <c r="I31" s="14"/>
      <c r="J31" s="14"/>
      <c r="K31" s="14"/>
      <c r="L31" s="14"/>
    </row>
    <row r="32" spans="1:12">
      <c r="A32" s="2"/>
      <c r="B32" s="2"/>
      <c r="C32" s="2"/>
      <c r="D32" s="2"/>
      <c r="E32" s="2"/>
      <c r="F32" s="2"/>
      <c r="G32" s="14"/>
      <c r="H32" s="14"/>
      <c r="I32" s="14"/>
      <c r="J32" s="14"/>
      <c r="K32" s="14"/>
      <c r="L32" s="14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</sheetData>
  <mergeCells count="6">
    <mergeCell ref="G26:L32"/>
    <mergeCell ref="A1:L2"/>
    <mergeCell ref="A4:C6"/>
    <mergeCell ref="E4:G6"/>
    <mergeCell ref="I4:K6"/>
    <mergeCell ref="G25:L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opLeftCell="B1" zoomScaleNormal="60" zoomScaleSheetLayoutView="100" workbookViewId="0">
      <selection activeCell="B10" activeCellId="1" sqref="A9:XFD9 A10:XFD10"/>
    </sheetView>
  </sheetViews>
  <sheetFormatPr defaultRowHeight="14.25"/>
  <cols>
    <col min="1" max="1" width="22" customWidth="1"/>
    <col min="2" max="2" width="70" customWidth="1"/>
  </cols>
  <sheetData>
    <row r="1" spans="1:6" ht="19.149999999999999" customHeight="1">
      <c r="A1" s="18" t="s">
        <v>98</v>
      </c>
      <c r="B1" s="18"/>
      <c r="C1" s="18"/>
      <c r="D1" s="18"/>
      <c r="E1" s="18"/>
      <c r="F1" s="18"/>
    </row>
    <row r="3" spans="1:6" ht="15" customHeight="1">
      <c r="A3" s="7" t="s">
        <v>99</v>
      </c>
      <c r="B3" s="8" t="s">
        <v>299</v>
      </c>
    </row>
    <row r="4" spans="1:6" ht="26.45" customHeight="1">
      <c r="A4" s="7" t="s">
        <v>100</v>
      </c>
      <c r="B4" s="8" t="s">
        <v>101</v>
      </c>
    </row>
    <row r="5" spans="1:6" ht="26.45" customHeight="1">
      <c r="A5" s="7" t="s">
        <v>102</v>
      </c>
      <c r="B5" s="8" t="s">
        <v>103</v>
      </c>
    </row>
    <row r="6" spans="1:6" ht="26.45" customHeight="1">
      <c r="A6" s="7" t="s">
        <v>104</v>
      </c>
      <c r="B6" s="8" t="s">
        <v>105</v>
      </c>
    </row>
    <row r="7" spans="1:6" ht="26.45" customHeight="1">
      <c r="A7" s="7" t="s">
        <v>106</v>
      </c>
      <c r="B7" s="8" t="s">
        <v>107</v>
      </c>
    </row>
    <row r="8" spans="1:6" ht="15" customHeight="1">
      <c r="A8" s="7" t="s">
        <v>108</v>
      </c>
      <c r="B8" s="8" t="s">
        <v>109</v>
      </c>
    </row>
    <row r="9" spans="1:6" ht="15" customHeight="1">
      <c r="A9" s="12" t="s">
        <v>110</v>
      </c>
      <c r="B9" s="8" t="s">
        <v>111</v>
      </c>
    </row>
    <row r="10" spans="1:6" ht="15" customHeight="1">
      <c r="A10" s="12" t="s">
        <v>112</v>
      </c>
      <c r="B10" s="8" t="s">
        <v>113</v>
      </c>
    </row>
    <row r="11" spans="1:6" ht="15" customHeight="1">
      <c r="A11" s="12" t="s">
        <v>114</v>
      </c>
      <c r="B11" s="8" t="s">
        <v>115</v>
      </c>
    </row>
    <row r="12" spans="1:6" ht="15" customHeight="1">
      <c r="A12" s="12" t="s">
        <v>116</v>
      </c>
      <c r="B12" s="8" t="s">
        <v>117</v>
      </c>
    </row>
    <row r="13" spans="1:6" ht="15" customHeight="1">
      <c r="A13" s="12" t="s">
        <v>118</v>
      </c>
      <c r="B13" s="8" t="s">
        <v>119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topLeftCell="K1" zoomScaleNormal="60" zoomScaleSheetLayoutView="100" workbookViewId="0">
      <selection activeCell="AB1" sqref="AB1"/>
    </sheetView>
  </sheetViews>
  <sheetFormatPr defaultRowHeight="14.25"/>
  <cols>
    <col min="1" max="1" width="18" customWidth="1"/>
    <col min="2" max="2" width="20" customWidth="1"/>
    <col min="3" max="5" width="18" customWidth="1"/>
    <col min="6" max="6" width="6.375" customWidth="1"/>
    <col min="7" max="7" width="8.5" customWidth="1"/>
    <col min="8" max="8" width="11.25" customWidth="1"/>
    <col min="9" max="9" width="6.375" customWidth="1"/>
    <col min="10" max="10" width="11.625" customWidth="1"/>
    <col min="11" max="11" width="13.125" customWidth="1"/>
    <col min="12" max="12" width="7" customWidth="1"/>
    <col min="13" max="13" width="6.875" customWidth="1"/>
    <col min="14" max="14" width="8.375" customWidth="1"/>
    <col min="15" max="15" width="9.125" customWidth="1"/>
    <col min="16" max="16" width="7.5" customWidth="1"/>
    <col min="17" max="17" width="7.75" customWidth="1"/>
  </cols>
  <sheetData>
    <row r="1" spans="1:17" ht="20.25">
      <c r="A1" s="19" t="s">
        <v>300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>
      <c r="A2" s="20" t="s">
        <v>120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4" spans="1:17" ht="30">
      <c r="A4" s="10" t="s">
        <v>121</v>
      </c>
      <c r="B4" s="10" t="s">
        <v>122</v>
      </c>
      <c r="C4" s="10" t="s">
        <v>123</v>
      </c>
      <c r="D4" s="10" t="s">
        <v>124</v>
      </c>
      <c r="E4" s="10" t="s">
        <v>1</v>
      </c>
      <c r="F4" s="10" t="s">
        <v>2</v>
      </c>
      <c r="G4" s="10" t="s">
        <v>3</v>
      </c>
      <c r="H4" s="10" t="s">
        <v>4</v>
      </c>
      <c r="I4" s="10" t="s">
        <v>125</v>
      </c>
      <c r="J4" s="10" t="s">
        <v>126</v>
      </c>
      <c r="K4" s="10" t="s">
        <v>127</v>
      </c>
      <c r="L4" s="10" t="s">
        <v>128</v>
      </c>
      <c r="M4" s="10">
        <v>2017</v>
      </c>
      <c r="N4" s="10">
        <v>2018</v>
      </c>
      <c r="O4" s="10">
        <v>2019</v>
      </c>
      <c r="P4" s="10">
        <v>2020</v>
      </c>
      <c r="Q4" s="10">
        <v>2021</v>
      </c>
    </row>
    <row r="5" spans="1:17">
      <c r="A5" t="s">
        <v>16</v>
      </c>
      <c r="B5" t="s">
        <v>129</v>
      </c>
      <c r="C5" t="s">
        <v>130</v>
      </c>
      <c r="D5" t="s">
        <v>131</v>
      </c>
      <c r="E5" t="s">
        <v>17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>
        <v>24</v>
      </c>
      <c r="N5">
        <v>1797</v>
      </c>
      <c r="O5">
        <v>3548</v>
      </c>
      <c r="P5">
        <v>3668</v>
      </c>
      <c r="Q5">
        <v>8592</v>
      </c>
    </row>
    <row r="6" spans="1:17">
      <c r="A6" t="s">
        <v>19</v>
      </c>
      <c r="B6" t="s">
        <v>132</v>
      </c>
      <c r="C6" t="s">
        <v>133</v>
      </c>
      <c r="D6" t="s">
        <v>131</v>
      </c>
      <c r="E6" t="s">
        <v>17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>
        <v>861</v>
      </c>
      <c r="N6">
        <v>1314</v>
      </c>
      <c r="O6">
        <v>1810</v>
      </c>
      <c r="P6">
        <v>6510</v>
      </c>
      <c r="Q6">
        <v>9271</v>
      </c>
    </row>
    <row r="7" spans="1:17">
      <c r="A7" t="s">
        <v>20</v>
      </c>
      <c r="B7" t="s">
        <v>134</v>
      </c>
      <c r="C7" t="s">
        <v>135</v>
      </c>
      <c r="D7" t="s">
        <v>131</v>
      </c>
      <c r="E7" t="s">
        <v>17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>
        <v>906</v>
      </c>
      <c r="N7">
        <v>1251</v>
      </c>
      <c r="O7">
        <v>2897</v>
      </c>
      <c r="P7">
        <v>4499</v>
      </c>
      <c r="Q7">
        <v>9428</v>
      </c>
    </row>
    <row r="8" spans="1:17">
      <c r="A8" t="s">
        <v>21</v>
      </c>
      <c r="B8" t="s">
        <v>136</v>
      </c>
      <c r="C8" t="s">
        <v>137</v>
      </c>
      <c r="D8" t="s">
        <v>131</v>
      </c>
      <c r="E8" t="s">
        <v>17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>
        <v>1209</v>
      </c>
      <c r="N8">
        <v>1534</v>
      </c>
      <c r="O8">
        <v>1634</v>
      </c>
      <c r="P8">
        <v>4302</v>
      </c>
      <c r="Q8">
        <v>9768</v>
      </c>
    </row>
    <row r="9" spans="1:17">
      <c r="A9" t="s">
        <v>22</v>
      </c>
      <c r="B9" t="s">
        <v>138</v>
      </c>
      <c r="C9" t="s">
        <v>139</v>
      </c>
      <c r="D9" t="s">
        <v>131</v>
      </c>
      <c r="E9" t="s">
        <v>17</v>
      </c>
      <c r="F9" t="s">
        <v>18</v>
      </c>
      <c r="G9" t="s">
        <v>18</v>
      </c>
      <c r="H9" t="s">
        <v>18</v>
      </c>
      <c r="I9" t="s">
        <v>18</v>
      </c>
      <c r="J9" t="s">
        <v>23</v>
      </c>
      <c r="K9" t="s">
        <v>18</v>
      </c>
      <c r="L9" t="s">
        <v>23</v>
      </c>
      <c r="M9">
        <v>1581</v>
      </c>
      <c r="N9">
        <v>4799</v>
      </c>
      <c r="O9">
        <v>6582</v>
      </c>
      <c r="P9">
        <v>9024</v>
      </c>
      <c r="Q9">
        <v>9759</v>
      </c>
    </row>
    <row r="10" spans="1:17">
      <c r="A10" t="s">
        <v>24</v>
      </c>
      <c r="B10" t="s">
        <v>140</v>
      </c>
      <c r="C10" t="s">
        <v>141</v>
      </c>
      <c r="D10" t="s">
        <v>131</v>
      </c>
      <c r="E10" t="s">
        <v>17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>
        <v>1982</v>
      </c>
      <c r="N10">
        <v>5388</v>
      </c>
      <c r="O10">
        <v>7063</v>
      </c>
      <c r="P10">
        <v>7208</v>
      </c>
      <c r="Q10">
        <v>9093</v>
      </c>
    </row>
    <row r="11" spans="1:17">
      <c r="A11" t="s">
        <v>25</v>
      </c>
      <c r="B11" t="s">
        <v>142</v>
      </c>
      <c r="C11" t="s">
        <v>143</v>
      </c>
      <c r="D11" t="s">
        <v>131</v>
      </c>
      <c r="E11" t="s">
        <v>17</v>
      </c>
      <c r="F11" t="s">
        <v>18</v>
      </c>
      <c r="G11" t="s">
        <v>18</v>
      </c>
      <c r="H11" t="s">
        <v>23</v>
      </c>
      <c r="I11" t="s">
        <v>18</v>
      </c>
      <c r="J11" t="s">
        <v>18</v>
      </c>
      <c r="K11" t="s">
        <v>18</v>
      </c>
      <c r="L11" t="s">
        <v>18</v>
      </c>
      <c r="M11">
        <v>1421</v>
      </c>
      <c r="N11">
        <v>1893</v>
      </c>
      <c r="O11">
        <v>2722</v>
      </c>
      <c r="P11">
        <v>4410</v>
      </c>
      <c r="Q11">
        <v>5873</v>
      </c>
    </row>
    <row r="12" spans="1:17">
      <c r="A12" t="s">
        <v>26</v>
      </c>
      <c r="B12" t="s">
        <v>144</v>
      </c>
      <c r="C12" t="s">
        <v>145</v>
      </c>
      <c r="D12" t="s">
        <v>131</v>
      </c>
      <c r="E12" t="s">
        <v>17</v>
      </c>
      <c r="F12" t="s">
        <v>18</v>
      </c>
      <c r="G12" t="s">
        <v>18</v>
      </c>
      <c r="H12" t="s">
        <v>23</v>
      </c>
      <c r="I12" t="s">
        <v>18</v>
      </c>
      <c r="J12" t="s">
        <v>23</v>
      </c>
      <c r="K12" t="s">
        <v>18</v>
      </c>
      <c r="L12" t="s">
        <v>23</v>
      </c>
      <c r="M12">
        <v>1530</v>
      </c>
      <c r="N12">
        <v>1620</v>
      </c>
      <c r="O12">
        <v>2027</v>
      </c>
      <c r="P12">
        <v>4881</v>
      </c>
      <c r="Q12">
        <v>6002</v>
      </c>
    </row>
    <row r="13" spans="1:17">
      <c r="A13" t="s">
        <v>27</v>
      </c>
      <c r="B13" t="s">
        <v>146</v>
      </c>
      <c r="C13" t="s">
        <v>147</v>
      </c>
      <c r="D13" t="s">
        <v>131</v>
      </c>
      <c r="E13" t="s">
        <v>17</v>
      </c>
      <c r="F13" t="s">
        <v>18</v>
      </c>
      <c r="G13" t="s">
        <v>18</v>
      </c>
      <c r="H13" t="s">
        <v>18</v>
      </c>
      <c r="I13" t="s">
        <v>23</v>
      </c>
      <c r="J13" t="s">
        <v>18</v>
      </c>
      <c r="K13" t="s">
        <v>18</v>
      </c>
      <c r="L13" t="s">
        <v>23</v>
      </c>
      <c r="M13">
        <v>2341</v>
      </c>
      <c r="N13">
        <v>6105</v>
      </c>
      <c r="O13">
        <v>7777</v>
      </c>
      <c r="P13">
        <v>7891</v>
      </c>
      <c r="Q13">
        <v>8758</v>
      </c>
    </row>
    <row r="14" spans="1:17">
      <c r="A14" t="s">
        <v>28</v>
      </c>
      <c r="B14" t="s">
        <v>148</v>
      </c>
      <c r="C14" t="s">
        <v>149</v>
      </c>
      <c r="D14" t="s">
        <v>131</v>
      </c>
      <c r="E14" t="s">
        <v>17</v>
      </c>
      <c r="F14" t="s">
        <v>18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>
        <v>1532</v>
      </c>
      <c r="N14">
        <v>2678</v>
      </c>
      <c r="O14">
        <v>4068</v>
      </c>
      <c r="P14">
        <v>4278</v>
      </c>
      <c r="Q14">
        <v>5382</v>
      </c>
    </row>
    <row r="15" spans="1:17">
      <c r="A15" t="s">
        <v>29</v>
      </c>
      <c r="B15" t="s">
        <v>150</v>
      </c>
      <c r="C15" t="s">
        <v>151</v>
      </c>
      <c r="D15" t="s">
        <v>131</v>
      </c>
      <c r="E15" t="s">
        <v>17</v>
      </c>
      <c r="F15" t="s">
        <v>18</v>
      </c>
      <c r="G15" t="s">
        <v>18</v>
      </c>
      <c r="H15" t="s">
        <v>18</v>
      </c>
      <c r="I15" t="s">
        <v>23</v>
      </c>
      <c r="J15" t="s">
        <v>18</v>
      </c>
      <c r="K15" t="s">
        <v>18</v>
      </c>
      <c r="L15" t="s">
        <v>18</v>
      </c>
      <c r="M15">
        <v>2786</v>
      </c>
      <c r="N15">
        <v>3804</v>
      </c>
      <c r="O15">
        <v>4121</v>
      </c>
      <c r="P15">
        <v>6210</v>
      </c>
      <c r="Q15">
        <v>6909</v>
      </c>
    </row>
    <row r="16" spans="1:17">
      <c r="A16" t="s">
        <v>30</v>
      </c>
      <c r="B16" t="s">
        <v>152</v>
      </c>
      <c r="C16" t="s">
        <v>153</v>
      </c>
      <c r="D16" t="s">
        <v>131</v>
      </c>
      <c r="E16" t="s">
        <v>17</v>
      </c>
      <c r="F16" t="s">
        <v>18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>
        <v>7555</v>
      </c>
      <c r="N16">
        <v>6551</v>
      </c>
      <c r="O16">
        <v>5188</v>
      </c>
      <c r="P16">
        <v>3436</v>
      </c>
      <c r="Q16">
        <v>2359</v>
      </c>
    </row>
    <row r="17" spans="1:17">
      <c r="A17" t="s">
        <v>31</v>
      </c>
      <c r="B17" t="s">
        <v>154</v>
      </c>
      <c r="C17" t="s">
        <v>155</v>
      </c>
      <c r="D17" t="s">
        <v>131</v>
      </c>
      <c r="E17" t="s">
        <v>17</v>
      </c>
      <c r="F17" t="s">
        <v>18</v>
      </c>
      <c r="G17" t="s">
        <v>23</v>
      </c>
      <c r="H17" t="s">
        <v>23</v>
      </c>
      <c r="I17" t="s">
        <v>23</v>
      </c>
      <c r="J17" t="s">
        <v>23</v>
      </c>
      <c r="K17" t="s">
        <v>18</v>
      </c>
      <c r="L17" t="s">
        <v>23</v>
      </c>
      <c r="M17">
        <v>9766</v>
      </c>
      <c r="N17">
        <v>8049</v>
      </c>
      <c r="O17">
        <v>5556</v>
      </c>
      <c r="P17">
        <v>5202</v>
      </c>
      <c r="Q17">
        <v>2373</v>
      </c>
    </row>
    <row r="18" spans="1:17">
      <c r="A18" t="s">
        <v>32</v>
      </c>
      <c r="B18" t="s">
        <v>156</v>
      </c>
      <c r="C18" t="s">
        <v>157</v>
      </c>
      <c r="D18" t="s">
        <v>131</v>
      </c>
      <c r="E18" t="s">
        <v>17</v>
      </c>
      <c r="F18" t="s">
        <v>18</v>
      </c>
      <c r="G18" t="s">
        <v>18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>
        <v>9058</v>
      </c>
      <c r="N18">
        <v>4839</v>
      </c>
      <c r="O18">
        <v>4776</v>
      </c>
      <c r="P18">
        <v>4024</v>
      </c>
      <c r="Q18">
        <v>369</v>
      </c>
    </row>
    <row r="19" spans="1:17">
      <c r="A19" t="s">
        <v>33</v>
      </c>
      <c r="B19" t="s">
        <v>158</v>
      </c>
      <c r="C19" t="s">
        <v>159</v>
      </c>
      <c r="D19" t="s">
        <v>131</v>
      </c>
      <c r="E19" t="s">
        <v>17</v>
      </c>
      <c r="F19" t="s">
        <v>18</v>
      </c>
      <c r="G19" t="s">
        <v>23</v>
      </c>
      <c r="H19" t="s">
        <v>23</v>
      </c>
      <c r="I19" t="s">
        <v>23</v>
      </c>
      <c r="J19" t="s">
        <v>23</v>
      </c>
      <c r="K19" t="s">
        <v>18</v>
      </c>
      <c r="L19" t="s">
        <v>23</v>
      </c>
      <c r="M19">
        <v>9252</v>
      </c>
      <c r="N19">
        <v>8499</v>
      </c>
      <c r="O19">
        <v>991</v>
      </c>
      <c r="P19">
        <v>448</v>
      </c>
      <c r="Q19">
        <v>211</v>
      </c>
    </row>
    <row r="20" spans="1:17">
      <c r="A20" t="s">
        <v>160</v>
      </c>
      <c r="B20" t="s">
        <v>161</v>
      </c>
      <c r="C20" t="s">
        <v>162</v>
      </c>
      <c r="D20" t="s">
        <v>131</v>
      </c>
      <c r="E20" t="s">
        <v>35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23</v>
      </c>
      <c r="M20">
        <v>138</v>
      </c>
      <c r="N20">
        <v>286</v>
      </c>
      <c r="O20">
        <v>6750</v>
      </c>
      <c r="P20">
        <v>8254</v>
      </c>
      <c r="Q20">
        <v>8656</v>
      </c>
    </row>
    <row r="21" spans="1:17">
      <c r="A21" t="s">
        <v>163</v>
      </c>
      <c r="B21" t="s">
        <v>164</v>
      </c>
      <c r="C21" t="s">
        <v>165</v>
      </c>
      <c r="D21" t="s">
        <v>131</v>
      </c>
      <c r="E21" t="s">
        <v>35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>
        <v>376</v>
      </c>
      <c r="N21">
        <v>889</v>
      </c>
      <c r="O21">
        <v>4373</v>
      </c>
      <c r="P21">
        <v>6803</v>
      </c>
      <c r="Q21">
        <v>7578</v>
      </c>
    </row>
    <row r="22" spans="1:17">
      <c r="A22" t="s">
        <v>166</v>
      </c>
      <c r="B22" t="s">
        <v>167</v>
      </c>
      <c r="C22" t="s">
        <v>168</v>
      </c>
      <c r="D22" t="s">
        <v>131</v>
      </c>
      <c r="E22" t="s">
        <v>35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23</v>
      </c>
      <c r="L22" t="s">
        <v>23</v>
      </c>
      <c r="M22">
        <v>431</v>
      </c>
      <c r="N22">
        <v>6231</v>
      </c>
      <c r="O22">
        <v>7478</v>
      </c>
      <c r="P22">
        <v>8039</v>
      </c>
      <c r="Q22">
        <v>8271</v>
      </c>
    </row>
    <row r="23" spans="1:17">
      <c r="A23" t="s">
        <v>169</v>
      </c>
      <c r="B23" t="s">
        <v>170</v>
      </c>
      <c r="C23" t="s">
        <v>171</v>
      </c>
      <c r="D23" t="s">
        <v>131</v>
      </c>
      <c r="E23" t="s">
        <v>35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>
        <v>488</v>
      </c>
      <c r="N23">
        <v>5535</v>
      </c>
      <c r="O23">
        <v>5775</v>
      </c>
      <c r="P23">
        <v>7661</v>
      </c>
      <c r="Q23">
        <v>9206</v>
      </c>
    </row>
    <row r="24" spans="1:17">
      <c r="A24" t="s">
        <v>172</v>
      </c>
      <c r="B24" t="s">
        <v>173</v>
      </c>
      <c r="C24" t="s">
        <v>174</v>
      </c>
      <c r="D24" t="s">
        <v>131</v>
      </c>
      <c r="E24" t="s">
        <v>35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>
        <v>742</v>
      </c>
      <c r="N24">
        <v>3751</v>
      </c>
      <c r="O24">
        <v>4423</v>
      </c>
      <c r="P24">
        <v>8733</v>
      </c>
      <c r="Q24">
        <v>9909</v>
      </c>
    </row>
    <row r="25" spans="1:17">
      <c r="A25" t="s">
        <v>175</v>
      </c>
      <c r="B25" t="s">
        <v>176</v>
      </c>
      <c r="C25" t="s">
        <v>177</v>
      </c>
      <c r="D25" t="s">
        <v>131</v>
      </c>
      <c r="E25" t="s">
        <v>35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>
        <v>1038</v>
      </c>
      <c r="N25">
        <v>3615</v>
      </c>
      <c r="O25">
        <v>3712</v>
      </c>
      <c r="P25">
        <v>5819</v>
      </c>
      <c r="Q25">
        <v>9589</v>
      </c>
    </row>
    <row r="26" spans="1:17">
      <c r="A26" t="s">
        <v>178</v>
      </c>
      <c r="B26" t="s">
        <v>179</v>
      </c>
      <c r="C26" t="s">
        <v>180</v>
      </c>
      <c r="D26" t="s">
        <v>131</v>
      </c>
      <c r="E26" t="s">
        <v>35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>
        <v>1092</v>
      </c>
      <c r="N26">
        <v>3140</v>
      </c>
      <c r="O26">
        <v>4123</v>
      </c>
      <c r="P26">
        <v>4366</v>
      </c>
      <c r="Q26">
        <v>9482</v>
      </c>
    </row>
    <row r="27" spans="1:17">
      <c r="A27" t="s">
        <v>181</v>
      </c>
      <c r="B27" t="s">
        <v>182</v>
      </c>
      <c r="C27" t="s">
        <v>183</v>
      </c>
      <c r="D27" t="s">
        <v>131</v>
      </c>
      <c r="E27" t="s">
        <v>35</v>
      </c>
      <c r="F27" t="s">
        <v>18</v>
      </c>
      <c r="G27" t="s">
        <v>18</v>
      </c>
      <c r="H27" t="s">
        <v>18</v>
      </c>
      <c r="I27" t="s">
        <v>18</v>
      </c>
      <c r="J27" t="s">
        <v>23</v>
      </c>
      <c r="K27" t="s">
        <v>23</v>
      </c>
      <c r="L27" t="s">
        <v>23</v>
      </c>
      <c r="M27">
        <v>1290</v>
      </c>
      <c r="N27">
        <v>4033</v>
      </c>
      <c r="O27">
        <v>6956</v>
      </c>
      <c r="P27">
        <v>7929</v>
      </c>
      <c r="Q27">
        <v>8834</v>
      </c>
    </row>
    <row r="28" spans="1:17">
      <c r="A28" t="s">
        <v>184</v>
      </c>
      <c r="B28" t="s">
        <v>185</v>
      </c>
      <c r="C28" t="s">
        <v>186</v>
      </c>
      <c r="D28" t="s">
        <v>131</v>
      </c>
      <c r="E28" t="s">
        <v>35</v>
      </c>
      <c r="F28" t="s">
        <v>18</v>
      </c>
      <c r="G28" t="s">
        <v>18</v>
      </c>
      <c r="H28" t="s">
        <v>18</v>
      </c>
      <c r="I28" t="s">
        <v>23</v>
      </c>
      <c r="J28" t="s">
        <v>23</v>
      </c>
      <c r="K28" t="s">
        <v>18</v>
      </c>
      <c r="L28" t="s">
        <v>18</v>
      </c>
      <c r="M28">
        <v>2541</v>
      </c>
      <c r="N28">
        <v>3794</v>
      </c>
      <c r="O28">
        <v>3984</v>
      </c>
      <c r="P28">
        <v>8803</v>
      </c>
      <c r="Q28">
        <v>9338</v>
      </c>
    </row>
    <row r="29" spans="1:17">
      <c r="A29" t="s">
        <v>187</v>
      </c>
      <c r="B29" t="s">
        <v>188</v>
      </c>
      <c r="C29" t="s">
        <v>189</v>
      </c>
      <c r="D29" t="s">
        <v>131</v>
      </c>
      <c r="E29" t="s">
        <v>35</v>
      </c>
      <c r="F29" t="s">
        <v>18</v>
      </c>
      <c r="G29" t="s">
        <v>18</v>
      </c>
      <c r="H29" t="s">
        <v>18</v>
      </c>
      <c r="I29" t="s">
        <v>23</v>
      </c>
      <c r="J29" t="s">
        <v>23</v>
      </c>
      <c r="K29" t="s">
        <v>18</v>
      </c>
      <c r="L29" t="s">
        <v>23</v>
      </c>
      <c r="M29">
        <v>2519</v>
      </c>
      <c r="N29">
        <v>3938</v>
      </c>
      <c r="O29">
        <v>5190</v>
      </c>
      <c r="P29">
        <v>8203</v>
      </c>
      <c r="Q29">
        <v>8780</v>
      </c>
    </row>
    <row r="30" spans="1:17">
      <c r="A30" t="s">
        <v>190</v>
      </c>
      <c r="B30" t="s">
        <v>191</v>
      </c>
      <c r="C30" t="s">
        <v>192</v>
      </c>
      <c r="D30" t="s">
        <v>131</v>
      </c>
      <c r="E30" t="s">
        <v>35</v>
      </c>
      <c r="F30" t="s">
        <v>18</v>
      </c>
      <c r="G30" t="s">
        <v>18</v>
      </c>
      <c r="H30" t="s">
        <v>18</v>
      </c>
      <c r="I30" t="s">
        <v>23</v>
      </c>
      <c r="J30" t="s">
        <v>23</v>
      </c>
      <c r="K30" t="s">
        <v>18</v>
      </c>
      <c r="L30" t="s">
        <v>18</v>
      </c>
      <c r="M30">
        <v>3297</v>
      </c>
      <c r="N30">
        <v>4866</v>
      </c>
      <c r="O30">
        <v>4928</v>
      </c>
      <c r="P30">
        <v>8451</v>
      </c>
      <c r="Q30">
        <v>9585</v>
      </c>
    </row>
    <row r="31" spans="1:17">
      <c r="A31" t="s">
        <v>193</v>
      </c>
      <c r="B31" t="s">
        <v>194</v>
      </c>
      <c r="C31" t="s">
        <v>195</v>
      </c>
      <c r="D31" t="s">
        <v>131</v>
      </c>
      <c r="E31" t="s">
        <v>35</v>
      </c>
      <c r="F31" t="s">
        <v>18</v>
      </c>
      <c r="G31" t="s">
        <v>18</v>
      </c>
      <c r="H31" t="s">
        <v>18</v>
      </c>
      <c r="I31" t="s">
        <v>23</v>
      </c>
      <c r="J31" t="s">
        <v>23</v>
      </c>
      <c r="K31" t="s">
        <v>18</v>
      </c>
      <c r="L31" t="s">
        <v>18</v>
      </c>
      <c r="M31">
        <v>8873</v>
      </c>
      <c r="N31">
        <v>8484</v>
      </c>
      <c r="O31">
        <v>7883</v>
      </c>
      <c r="P31">
        <v>7499</v>
      </c>
      <c r="Q31">
        <v>6592</v>
      </c>
    </row>
    <row r="32" spans="1:17">
      <c r="A32" t="s">
        <v>196</v>
      </c>
      <c r="B32" t="s">
        <v>197</v>
      </c>
      <c r="C32" t="s">
        <v>198</v>
      </c>
      <c r="D32" t="s">
        <v>131</v>
      </c>
      <c r="E32" t="s">
        <v>35</v>
      </c>
      <c r="F32" t="s">
        <v>18</v>
      </c>
      <c r="G32" t="s">
        <v>18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>
        <v>8891</v>
      </c>
      <c r="N32">
        <v>5952</v>
      </c>
      <c r="O32">
        <v>5914</v>
      </c>
      <c r="P32">
        <v>5405</v>
      </c>
      <c r="Q32">
        <v>4031</v>
      </c>
    </row>
    <row r="33" spans="1:17">
      <c r="A33" t="s">
        <v>199</v>
      </c>
      <c r="B33" t="s">
        <v>200</v>
      </c>
      <c r="C33" t="s">
        <v>201</v>
      </c>
      <c r="D33" t="s">
        <v>131</v>
      </c>
      <c r="E33" t="s">
        <v>35</v>
      </c>
      <c r="F33" t="s">
        <v>18</v>
      </c>
      <c r="G33" t="s">
        <v>23</v>
      </c>
      <c r="H33" t="s">
        <v>23</v>
      </c>
      <c r="I33" t="s">
        <v>23</v>
      </c>
      <c r="J33" t="s">
        <v>23</v>
      </c>
      <c r="K33" t="s">
        <v>18</v>
      </c>
      <c r="L33" t="s">
        <v>18</v>
      </c>
      <c r="M33">
        <v>7703</v>
      </c>
      <c r="N33">
        <v>6957</v>
      </c>
      <c r="O33">
        <v>3898</v>
      </c>
      <c r="P33">
        <v>1857</v>
      </c>
      <c r="Q33">
        <v>1512</v>
      </c>
    </row>
    <row r="34" spans="1:17">
      <c r="A34" t="s">
        <v>202</v>
      </c>
      <c r="B34" t="s">
        <v>203</v>
      </c>
      <c r="C34" t="s">
        <v>204</v>
      </c>
      <c r="D34" t="s">
        <v>131</v>
      </c>
      <c r="E34" t="s">
        <v>35</v>
      </c>
      <c r="F34" t="s">
        <v>18</v>
      </c>
      <c r="G34" t="s">
        <v>23</v>
      </c>
      <c r="H34" t="s">
        <v>23</v>
      </c>
      <c r="I34" t="s">
        <v>23</v>
      </c>
      <c r="J34" t="s">
        <v>23</v>
      </c>
      <c r="K34" t="s">
        <v>18</v>
      </c>
      <c r="L34" t="s">
        <v>18</v>
      </c>
      <c r="M34">
        <v>7840</v>
      </c>
      <c r="N34">
        <v>5804</v>
      </c>
      <c r="O34">
        <v>4259</v>
      </c>
      <c r="P34">
        <v>4243</v>
      </c>
      <c r="Q34">
        <v>907</v>
      </c>
    </row>
    <row r="35" spans="1:17">
      <c r="A35" t="s">
        <v>205</v>
      </c>
      <c r="B35" t="s">
        <v>206</v>
      </c>
      <c r="C35" t="s">
        <v>207</v>
      </c>
      <c r="D35" t="s">
        <v>131</v>
      </c>
      <c r="E35" t="s">
        <v>51</v>
      </c>
      <c r="F35" t="s">
        <v>18</v>
      </c>
      <c r="G35" t="s">
        <v>18</v>
      </c>
      <c r="H35" t="s">
        <v>18</v>
      </c>
      <c r="I35" t="s">
        <v>18</v>
      </c>
      <c r="J35" t="s">
        <v>23</v>
      </c>
      <c r="K35" t="s">
        <v>23</v>
      </c>
      <c r="L35" t="s">
        <v>23</v>
      </c>
      <c r="M35">
        <v>128</v>
      </c>
      <c r="N35">
        <v>416</v>
      </c>
      <c r="O35">
        <v>747</v>
      </c>
      <c r="P35">
        <v>1028</v>
      </c>
      <c r="Q35">
        <v>6357</v>
      </c>
    </row>
    <row r="36" spans="1:17">
      <c r="A36" t="s">
        <v>208</v>
      </c>
      <c r="B36" t="s">
        <v>209</v>
      </c>
      <c r="C36" t="s">
        <v>210</v>
      </c>
      <c r="D36" t="s">
        <v>131</v>
      </c>
      <c r="E36" t="s">
        <v>51</v>
      </c>
      <c r="F36" t="s">
        <v>18</v>
      </c>
      <c r="G36" t="s">
        <v>18</v>
      </c>
      <c r="H36" t="s">
        <v>18</v>
      </c>
      <c r="I36" t="s">
        <v>18</v>
      </c>
      <c r="J36" t="s">
        <v>23</v>
      </c>
      <c r="K36" t="s">
        <v>18</v>
      </c>
      <c r="L36" t="s">
        <v>23</v>
      </c>
      <c r="M36">
        <v>299</v>
      </c>
      <c r="N36">
        <v>657</v>
      </c>
      <c r="O36">
        <v>6238</v>
      </c>
      <c r="P36">
        <v>8922</v>
      </c>
      <c r="Q36">
        <v>9081</v>
      </c>
    </row>
    <row r="37" spans="1:17">
      <c r="A37" t="s">
        <v>211</v>
      </c>
      <c r="B37" t="s">
        <v>212</v>
      </c>
      <c r="C37" t="s">
        <v>213</v>
      </c>
      <c r="D37" t="s">
        <v>131</v>
      </c>
      <c r="E37" t="s">
        <v>51</v>
      </c>
      <c r="F37" t="s">
        <v>18</v>
      </c>
      <c r="G37" t="s">
        <v>18</v>
      </c>
      <c r="H37" t="s">
        <v>18</v>
      </c>
      <c r="I37" t="s">
        <v>23</v>
      </c>
      <c r="J37" t="s">
        <v>23</v>
      </c>
      <c r="K37" t="s">
        <v>18</v>
      </c>
      <c r="L37" t="s">
        <v>23</v>
      </c>
      <c r="M37">
        <v>870</v>
      </c>
      <c r="N37">
        <v>2428</v>
      </c>
      <c r="O37">
        <v>7386</v>
      </c>
      <c r="P37">
        <v>8835</v>
      </c>
      <c r="Q37">
        <v>9766</v>
      </c>
    </row>
    <row r="38" spans="1:17">
      <c r="A38" t="s">
        <v>214</v>
      </c>
      <c r="B38" t="s">
        <v>215</v>
      </c>
      <c r="C38" t="s">
        <v>216</v>
      </c>
      <c r="D38" t="s">
        <v>131</v>
      </c>
      <c r="E38" t="s">
        <v>51</v>
      </c>
      <c r="F38" t="s">
        <v>18</v>
      </c>
      <c r="G38" t="s">
        <v>23</v>
      </c>
      <c r="H38" t="s">
        <v>23</v>
      </c>
      <c r="I38" t="s">
        <v>23</v>
      </c>
      <c r="J38" t="s">
        <v>23</v>
      </c>
      <c r="K38" t="s">
        <v>18</v>
      </c>
      <c r="L38" t="s">
        <v>23</v>
      </c>
      <c r="M38">
        <v>576</v>
      </c>
      <c r="N38">
        <v>2628</v>
      </c>
      <c r="O38">
        <v>3612</v>
      </c>
      <c r="P38">
        <v>5066</v>
      </c>
      <c r="Q38">
        <v>5156</v>
      </c>
    </row>
    <row r="39" spans="1:17">
      <c r="A39" t="s">
        <v>217</v>
      </c>
      <c r="B39" t="s">
        <v>218</v>
      </c>
      <c r="C39" t="s">
        <v>219</v>
      </c>
      <c r="D39" t="s">
        <v>131</v>
      </c>
      <c r="E39" t="s">
        <v>51</v>
      </c>
      <c r="F39" t="s">
        <v>18</v>
      </c>
      <c r="G39" t="s">
        <v>18</v>
      </c>
      <c r="H39" t="s">
        <v>18</v>
      </c>
      <c r="I39" t="s">
        <v>23</v>
      </c>
      <c r="J39" t="s">
        <v>23</v>
      </c>
      <c r="K39" t="s">
        <v>18</v>
      </c>
      <c r="L39" t="s">
        <v>23</v>
      </c>
      <c r="M39">
        <v>1082</v>
      </c>
      <c r="N39">
        <v>3353</v>
      </c>
      <c r="O39">
        <v>6351</v>
      </c>
      <c r="P39">
        <v>8550</v>
      </c>
      <c r="Q39">
        <v>9272</v>
      </c>
    </row>
    <row r="40" spans="1:17">
      <c r="A40" t="s">
        <v>220</v>
      </c>
      <c r="B40" t="s">
        <v>221</v>
      </c>
      <c r="C40" t="s">
        <v>222</v>
      </c>
      <c r="D40" t="s">
        <v>131</v>
      </c>
      <c r="E40" t="s">
        <v>51</v>
      </c>
      <c r="F40" t="s">
        <v>18</v>
      </c>
      <c r="G40" t="s">
        <v>18</v>
      </c>
      <c r="H40" t="s">
        <v>18</v>
      </c>
      <c r="I40" t="s">
        <v>23</v>
      </c>
      <c r="J40" t="s">
        <v>23</v>
      </c>
      <c r="K40" t="s">
        <v>23</v>
      </c>
      <c r="L40" t="s">
        <v>23</v>
      </c>
      <c r="M40">
        <v>1263</v>
      </c>
      <c r="N40">
        <v>2517</v>
      </c>
      <c r="O40">
        <v>8042</v>
      </c>
      <c r="P40">
        <v>8222</v>
      </c>
      <c r="Q40">
        <v>9686</v>
      </c>
    </row>
    <row r="41" spans="1:17">
      <c r="A41" t="s">
        <v>223</v>
      </c>
      <c r="B41" t="s">
        <v>224</v>
      </c>
      <c r="C41" t="s">
        <v>225</v>
      </c>
      <c r="D41" t="s">
        <v>131</v>
      </c>
      <c r="E41" t="s">
        <v>51</v>
      </c>
      <c r="F41" t="s">
        <v>18</v>
      </c>
      <c r="G41" t="s">
        <v>18</v>
      </c>
      <c r="H41" t="s">
        <v>18</v>
      </c>
      <c r="I41" t="s">
        <v>23</v>
      </c>
      <c r="J41" t="s">
        <v>23</v>
      </c>
      <c r="K41" t="s">
        <v>23</v>
      </c>
      <c r="L41" t="s">
        <v>23</v>
      </c>
      <c r="M41">
        <v>1014</v>
      </c>
      <c r="N41">
        <v>2254</v>
      </c>
      <c r="O41">
        <v>4534</v>
      </c>
      <c r="P41">
        <v>6796</v>
      </c>
      <c r="Q41">
        <v>7730</v>
      </c>
    </row>
    <row r="42" spans="1:17">
      <c r="A42" t="s">
        <v>226</v>
      </c>
      <c r="B42" t="s">
        <v>227</v>
      </c>
      <c r="C42" t="s">
        <v>228</v>
      </c>
      <c r="D42" t="s">
        <v>131</v>
      </c>
      <c r="E42" t="s">
        <v>51</v>
      </c>
      <c r="F42" t="s">
        <v>18</v>
      </c>
      <c r="G42" t="s">
        <v>18</v>
      </c>
      <c r="H42" t="s">
        <v>18</v>
      </c>
      <c r="I42" t="s">
        <v>23</v>
      </c>
      <c r="J42" t="s">
        <v>23</v>
      </c>
      <c r="K42" t="s">
        <v>18</v>
      </c>
      <c r="L42" t="s">
        <v>23</v>
      </c>
      <c r="M42">
        <v>1357</v>
      </c>
      <c r="N42">
        <v>4189</v>
      </c>
      <c r="O42">
        <v>5407</v>
      </c>
      <c r="P42">
        <v>6233</v>
      </c>
      <c r="Q42">
        <v>9681</v>
      </c>
    </row>
    <row r="43" spans="1:17">
      <c r="A43" t="s">
        <v>229</v>
      </c>
      <c r="B43" t="s">
        <v>230</v>
      </c>
      <c r="C43" t="s">
        <v>231</v>
      </c>
      <c r="D43" t="s">
        <v>131</v>
      </c>
      <c r="E43" t="s">
        <v>51</v>
      </c>
      <c r="F43" t="s">
        <v>18</v>
      </c>
      <c r="G43" t="s">
        <v>18</v>
      </c>
      <c r="H43" t="s">
        <v>18</v>
      </c>
      <c r="I43" t="s">
        <v>23</v>
      </c>
      <c r="J43" t="s">
        <v>23</v>
      </c>
      <c r="K43" t="s">
        <v>18</v>
      </c>
      <c r="L43" t="s">
        <v>23</v>
      </c>
      <c r="M43">
        <v>1497</v>
      </c>
      <c r="N43">
        <v>1768</v>
      </c>
      <c r="O43">
        <v>2804</v>
      </c>
      <c r="P43">
        <v>5718</v>
      </c>
      <c r="Q43">
        <v>9822</v>
      </c>
    </row>
    <row r="44" spans="1:17">
      <c r="A44" t="s">
        <v>232</v>
      </c>
      <c r="B44" t="s">
        <v>233</v>
      </c>
      <c r="C44" t="s">
        <v>234</v>
      </c>
      <c r="D44" t="s">
        <v>131</v>
      </c>
      <c r="E44" t="s">
        <v>51</v>
      </c>
      <c r="F44" t="s">
        <v>18</v>
      </c>
      <c r="G44" t="s">
        <v>18</v>
      </c>
      <c r="H44" t="s">
        <v>18</v>
      </c>
      <c r="I44" t="s">
        <v>23</v>
      </c>
      <c r="J44" t="s">
        <v>23</v>
      </c>
      <c r="K44" t="s">
        <v>23</v>
      </c>
      <c r="L44" t="s">
        <v>23</v>
      </c>
      <c r="M44">
        <v>1032</v>
      </c>
      <c r="N44">
        <v>3919</v>
      </c>
      <c r="O44">
        <v>4466</v>
      </c>
      <c r="P44">
        <v>5568</v>
      </c>
      <c r="Q44">
        <v>6476</v>
      </c>
    </row>
    <row r="45" spans="1:17">
      <c r="A45" t="s">
        <v>235</v>
      </c>
      <c r="B45" t="s">
        <v>236</v>
      </c>
      <c r="C45" t="s">
        <v>237</v>
      </c>
      <c r="D45" t="s">
        <v>131</v>
      </c>
      <c r="E45" t="s">
        <v>51</v>
      </c>
      <c r="F45" t="s">
        <v>18</v>
      </c>
      <c r="G45" t="s">
        <v>18</v>
      </c>
      <c r="H45" t="s">
        <v>18</v>
      </c>
      <c r="I45" t="s">
        <v>23</v>
      </c>
      <c r="J45" t="s">
        <v>23</v>
      </c>
      <c r="K45" t="s">
        <v>18</v>
      </c>
      <c r="L45" t="s">
        <v>23</v>
      </c>
      <c r="M45">
        <v>1323</v>
      </c>
      <c r="N45">
        <v>4963</v>
      </c>
      <c r="O45">
        <v>6292</v>
      </c>
      <c r="P45">
        <v>6728</v>
      </c>
      <c r="Q45">
        <v>8202</v>
      </c>
    </row>
    <row r="46" spans="1:17">
      <c r="A46" t="s">
        <v>238</v>
      </c>
      <c r="B46" t="s">
        <v>239</v>
      </c>
      <c r="C46" t="s">
        <v>240</v>
      </c>
      <c r="D46" t="s">
        <v>131</v>
      </c>
      <c r="E46" t="s">
        <v>51</v>
      </c>
      <c r="F46" t="s">
        <v>18</v>
      </c>
      <c r="G46" t="s">
        <v>18</v>
      </c>
      <c r="H46" t="s">
        <v>23</v>
      </c>
      <c r="I46" t="s">
        <v>23</v>
      </c>
      <c r="J46" t="s">
        <v>23</v>
      </c>
      <c r="K46" t="s">
        <v>18</v>
      </c>
      <c r="L46" t="s">
        <v>23</v>
      </c>
      <c r="M46">
        <v>9791</v>
      </c>
      <c r="N46">
        <v>9610</v>
      </c>
      <c r="O46">
        <v>7534</v>
      </c>
      <c r="P46">
        <v>5080</v>
      </c>
      <c r="Q46">
        <v>4936</v>
      </c>
    </row>
    <row r="47" spans="1:17">
      <c r="A47" t="s">
        <v>241</v>
      </c>
      <c r="B47" t="s">
        <v>242</v>
      </c>
      <c r="C47" t="s">
        <v>243</v>
      </c>
      <c r="D47" t="s">
        <v>131</v>
      </c>
      <c r="E47" t="s">
        <v>51</v>
      </c>
      <c r="F47" t="s">
        <v>18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>
        <v>8034</v>
      </c>
      <c r="N47">
        <v>6541</v>
      </c>
      <c r="O47">
        <v>3311</v>
      </c>
      <c r="P47">
        <v>3254</v>
      </c>
      <c r="Q47">
        <v>2687</v>
      </c>
    </row>
    <row r="48" spans="1:17">
      <c r="A48" t="s">
        <v>244</v>
      </c>
      <c r="B48" t="s">
        <v>245</v>
      </c>
      <c r="C48" t="s">
        <v>246</v>
      </c>
      <c r="D48" t="s">
        <v>131</v>
      </c>
      <c r="E48" t="s">
        <v>51</v>
      </c>
      <c r="F48" t="s">
        <v>18</v>
      </c>
      <c r="G48" t="s">
        <v>23</v>
      </c>
      <c r="H48" t="s">
        <v>23</v>
      </c>
      <c r="I48" t="s">
        <v>23</v>
      </c>
      <c r="J48" t="s">
        <v>23</v>
      </c>
      <c r="K48" t="s">
        <v>18</v>
      </c>
      <c r="L48" t="s">
        <v>23</v>
      </c>
      <c r="M48">
        <v>8466</v>
      </c>
      <c r="N48">
        <v>4079</v>
      </c>
      <c r="O48">
        <v>2797</v>
      </c>
      <c r="P48">
        <v>2245</v>
      </c>
      <c r="Q48">
        <v>1696</v>
      </c>
    </row>
    <row r="49" spans="1:17">
      <c r="A49" t="s">
        <v>247</v>
      </c>
      <c r="B49" t="s">
        <v>248</v>
      </c>
      <c r="C49" t="s">
        <v>249</v>
      </c>
      <c r="D49" t="s">
        <v>131</v>
      </c>
      <c r="E49" t="s">
        <v>51</v>
      </c>
      <c r="F49" t="s">
        <v>18</v>
      </c>
      <c r="G49" t="s">
        <v>23</v>
      </c>
      <c r="H49" t="s">
        <v>23</v>
      </c>
      <c r="I49" t="s">
        <v>23</v>
      </c>
      <c r="J49" t="s">
        <v>23</v>
      </c>
      <c r="K49" t="s">
        <v>18</v>
      </c>
      <c r="L49" t="s">
        <v>23</v>
      </c>
      <c r="M49">
        <v>8156</v>
      </c>
      <c r="N49">
        <v>1245</v>
      </c>
      <c r="O49">
        <v>791</v>
      </c>
      <c r="P49">
        <v>338</v>
      </c>
      <c r="Q49">
        <v>44</v>
      </c>
    </row>
    <row r="50" spans="1:17">
      <c r="A50" t="s">
        <v>66</v>
      </c>
      <c r="B50" t="s">
        <v>250</v>
      </c>
      <c r="C50" t="s">
        <v>251</v>
      </c>
      <c r="D50" t="s">
        <v>131</v>
      </c>
      <c r="E50" t="s">
        <v>67</v>
      </c>
      <c r="F50" t="s">
        <v>18</v>
      </c>
      <c r="G50" t="s">
        <v>18</v>
      </c>
      <c r="H50" t="s">
        <v>23</v>
      </c>
      <c r="I50" t="s">
        <v>18</v>
      </c>
      <c r="J50" t="s">
        <v>23</v>
      </c>
      <c r="K50" t="s">
        <v>18</v>
      </c>
      <c r="L50" t="s">
        <v>23</v>
      </c>
      <c r="M50">
        <v>73</v>
      </c>
      <c r="N50">
        <v>3485</v>
      </c>
      <c r="O50">
        <v>4592</v>
      </c>
      <c r="P50">
        <v>5143</v>
      </c>
      <c r="Q50">
        <v>8100</v>
      </c>
    </row>
    <row r="51" spans="1:17">
      <c r="A51" t="s">
        <v>68</v>
      </c>
      <c r="B51" t="s">
        <v>252</v>
      </c>
      <c r="C51" t="s">
        <v>253</v>
      </c>
      <c r="D51" t="s">
        <v>131</v>
      </c>
      <c r="E51" t="s">
        <v>67</v>
      </c>
      <c r="F51" t="s">
        <v>18</v>
      </c>
      <c r="G51" t="s">
        <v>18</v>
      </c>
      <c r="H51" t="s">
        <v>23</v>
      </c>
      <c r="I51" t="s">
        <v>18</v>
      </c>
      <c r="J51" t="s">
        <v>18</v>
      </c>
      <c r="K51" t="s">
        <v>18</v>
      </c>
      <c r="L51" t="s">
        <v>23</v>
      </c>
      <c r="M51">
        <v>209</v>
      </c>
      <c r="N51">
        <v>621</v>
      </c>
      <c r="O51">
        <v>3098</v>
      </c>
      <c r="P51">
        <v>7118</v>
      </c>
      <c r="Q51">
        <v>8433</v>
      </c>
    </row>
    <row r="52" spans="1:17">
      <c r="A52" t="s">
        <v>69</v>
      </c>
      <c r="B52" t="s">
        <v>254</v>
      </c>
      <c r="C52" t="s">
        <v>255</v>
      </c>
      <c r="D52" t="s">
        <v>131</v>
      </c>
      <c r="E52" t="s">
        <v>67</v>
      </c>
      <c r="F52" t="s">
        <v>18</v>
      </c>
      <c r="G52" t="s">
        <v>18</v>
      </c>
      <c r="H52" t="s">
        <v>23</v>
      </c>
      <c r="I52" t="s">
        <v>18</v>
      </c>
      <c r="J52" t="s">
        <v>23</v>
      </c>
      <c r="K52" t="s">
        <v>18</v>
      </c>
      <c r="L52" t="s">
        <v>23</v>
      </c>
      <c r="M52">
        <v>238</v>
      </c>
      <c r="N52">
        <v>1235</v>
      </c>
      <c r="O52">
        <v>1822</v>
      </c>
      <c r="P52">
        <v>7074</v>
      </c>
      <c r="Q52">
        <v>8207</v>
      </c>
    </row>
    <row r="53" spans="1:17">
      <c r="A53" t="s">
        <v>70</v>
      </c>
      <c r="B53" t="s">
        <v>256</v>
      </c>
      <c r="C53" t="s">
        <v>257</v>
      </c>
      <c r="D53" t="s">
        <v>131</v>
      </c>
      <c r="E53" t="s">
        <v>67</v>
      </c>
      <c r="F53" t="s">
        <v>18</v>
      </c>
      <c r="G53" t="s">
        <v>18</v>
      </c>
      <c r="H53" t="s">
        <v>23</v>
      </c>
      <c r="I53" t="s">
        <v>18</v>
      </c>
      <c r="J53" t="s">
        <v>18</v>
      </c>
      <c r="K53" t="s">
        <v>18</v>
      </c>
      <c r="L53" t="s">
        <v>23</v>
      </c>
      <c r="M53">
        <v>570</v>
      </c>
      <c r="N53">
        <v>1322</v>
      </c>
      <c r="O53">
        <v>7279</v>
      </c>
      <c r="P53">
        <v>8443</v>
      </c>
      <c r="Q53">
        <v>9571</v>
      </c>
    </row>
    <row r="54" spans="1:17">
      <c r="A54" t="s">
        <v>71</v>
      </c>
      <c r="B54" t="s">
        <v>258</v>
      </c>
      <c r="C54" t="s">
        <v>259</v>
      </c>
      <c r="D54" t="s">
        <v>131</v>
      </c>
      <c r="E54" t="s">
        <v>67</v>
      </c>
      <c r="F54" t="s">
        <v>18</v>
      </c>
      <c r="G54" t="s">
        <v>18</v>
      </c>
      <c r="H54" t="s">
        <v>23</v>
      </c>
      <c r="I54" t="s">
        <v>18</v>
      </c>
      <c r="J54" t="s">
        <v>23</v>
      </c>
      <c r="K54" t="s">
        <v>18</v>
      </c>
      <c r="L54" t="s">
        <v>23</v>
      </c>
      <c r="M54">
        <v>700</v>
      </c>
      <c r="N54">
        <v>5721</v>
      </c>
      <c r="O54">
        <v>6247</v>
      </c>
      <c r="P54">
        <v>8495</v>
      </c>
      <c r="Q54">
        <v>9236</v>
      </c>
    </row>
    <row r="55" spans="1:17">
      <c r="A55" t="s">
        <v>72</v>
      </c>
      <c r="B55" t="s">
        <v>260</v>
      </c>
      <c r="C55" t="s">
        <v>261</v>
      </c>
      <c r="D55" t="s">
        <v>131</v>
      </c>
      <c r="E55" t="s">
        <v>67</v>
      </c>
      <c r="F55" t="s">
        <v>18</v>
      </c>
      <c r="G55" t="s">
        <v>18</v>
      </c>
      <c r="H55" t="s">
        <v>23</v>
      </c>
      <c r="I55" t="s">
        <v>18</v>
      </c>
      <c r="J55" t="s">
        <v>23</v>
      </c>
      <c r="K55" t="s">
        <v>18</v>
      </c>
      <c r="L55" t="s">
        <v>23</v>
      </c>
      <c r="M55">
        <v>712</v>
      </c>
      <c r="N55">
        <v>4182</v>
      </c>
      <c r="O55">
        <v>6087</v>
      </c>
      <c r="P55">
        <v>7494</v>
      </c>
      <c r="Q55">
        <v>8599</v>
      </c>
    </row>
    <row r="56" spans="1:17">
      <c r="A56" t="s">
        <v>73</v>
      </c>
      <c r="B56" t="s">
        <v>262</v>
      </c>
      <c r="C56" t="s">
        <v>263</v>
      </c>
      <c r="D56" t="s">
        <v>131</v>
      </c>
      <c r="E56" t="s">
        <v>67</v>
      </c>
      <c r="F56" t="s">
        <v>18</v>
      </c>
      <c r="G56" t="s">
        <v>18</v>
      </c>
      <c r="H56" t="s">
        <v>23</v>
      </c>
      <c r="I56" t="s">
        <v>18</v>
      </c>
      <c r="J56" t="s">
        <v>23</v>
      </c>
      <c r="K56" t="s">
        <v>18</v>
      </c>
      <c r="L56" t="s">
        <v>23</v>
      </c>
      <c r="M56">
        <v>1368</v>
      </c>
      <c r="N56">
        <v>3447</v>
      </c>
      <c r="O56">
        <v>4535</v>
      </c>
      <c r="P56">
        <v>5476</v>
      </c>
      <c r="Q56">
        <v>9983</v>
      </c>
    </row>
    <row r="57" spans="1:17">
      <c r="A57" t="s">
        <v>74</v>
      </c>
      <c r="B57" t="s">
        <v>264</v>
      </c>
      <c r="C57" t="s">
        <v>265</v>
      </c>
      <c r="D57" t="s">
        <v>131</v>
      </c>
      <c r="E57" t="s">
        <v>67</v>
      </c>
      <c r="F57" t="s">
        <v>18</v>
      </c>
      <c r="G57" t="s">
        <v>18</v>
      </c>
      <c r="H57" t="s">
        <v>23</v>
      </c>
      <c r="I57" t="s">
        <v>18</v>
      </c>
      <c r="J57" t="s">
        <v>18</v>
      </c>
      <c r="K57" t="s">
        <v>18</v>
      </c>
      <c r="L57" t="s">
        <v>23</v>
      </c>
      <c r="M57">
        <v>1779</v>
      </c>
      <c r="N57">
        <v>2124</v>
      </c>
      <c r="O57">
        <v>2844</v>
      </c>
      <c r="P57">
        <v>6877</v>
      </c>
      <c r="Q57">
        <v>9570</v>
      </c>
    </row>
    <row r="58" spans="1:17">
      <c r="A58" t="s">
        <v>75</v>
      </c>
      <c r="B58" t="s">
        <v>266</v>
      </c>
      <c r="C58" t="s">
        <v>267</v>
      </c>
      <c r="D58" t="s">
        <v>131</v>
      </c>
      <c r="E58" t="s">
        <v>67</v>
      </c>
      <c r="F58" t="s">
        <v>18</v>
      </c>
      <c r="G58" t="s">
        <v>18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>
        <v>3501</v>
      </c>
      <c r="N58">
        <v>7079</v>
      </c>
      <c r="O58">
        <v>7438</v>
      </c>
      <c r="P58">
        <v>7443</v>
      </c>
      <c r="Q58">
        <v>9225</v>
      </c>
    </row>
    <row r="59" spans="1:17">
      <c r="A59" t="s">
        <v>76</v>
      </c>
      <c r="B59" t="s">
        <v>268</v>
      </c>
      <c r="C59" t="s">
        <v>269</v>
      </c>
      <c r="D59" t="s">
        <v>131</v>
      </c>
      <c r="E59" t="s">
        <v>67</v>
      </c>
      <c r="F59" t="s">
        <v>18</v>
      </c>
      <c r="G59" t="s">
        <v>18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>
        <v>2390</v>
      </c>
      <c r="N59">
        <v>2415</v>
      </c>
      <c r="O59">
        <v>3461</v>
      </c>
      <c r="P59">
        <v>3850</v>
      </c>
      <c r="Q59">
        <v>4657</v>
      </c>
    </row>
    <row r="60" spans="1:17">
      <c r="A60" t="s">
        <v>77</v>
      </c>
      <c r="B60" t="s">
        <v>270</v>
      </c>
      <c r="C60" t="s">
        <v>271</v>
      </c>
      <c r="D60" t="s">
        <v>131</v>
      </c>
      <c r="E60" t="s">
        <v>67</v>
      </c>
      <c r="F60" t="s">
        <v>18</v>
      </c>
      <c r="G60" t="s">
        <v>18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>
        <v>3916</v>
      </c>
      <c r="N60">
        <v>4218</v>
      </c>
      <c r="O60">
        <v>5072</v>
      </c>
      <c r="P60">
        <v>5201</v>
      </c>
      <c r="Q60">
        <v>7588</v>
      </c>
    </row>
    <row r="61" spans="1:17">
      <c r="A61" t="s">
        <v>78</v>
      </c>
      <c r="B61" t="s">
        <v>272</v>
      </c>
      <c r="C61" t="s">
        <v>273</v>
      </c>
      <c r="D61" t="s">
        <v>131</v>
      </c>
      <c r="E61" t="s">
        <v>67</v>
      </c>
      <c r="F61" t="s">
        <v>18</v>
      </c>
      <c r="G61" t="s">
        <v>18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>
        <v>6309</v>
      </c>
      <c r="N61">
        <v>6227</v>
      </c>
      <c r="O61">
        <v>5123</v>
      </c>
      <c r="P61">
        <v>4968</v>
      </c>
      <c r="Q61">
        <v>3857</v>
      </c>
    </row>
    <row r="62" spans="1:17">
      <c r="A62" t="s">
        <v>79</v>
      </c>
      <c r="B62" t="s">
        <v>274</v>
      </c>
      <c r="C62" t="s">
        <v>275</v>
      </c>
      <c r="D62" t="s">
        <v>131</v>
      </c>
      <c r="E62" t="s">
        <v>67</v>
      </c>
      <c r="F62" t="s">
        <v>18</v>
      </c>
      <c r="G62" t="s">
        <v>18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>
        <v>9773</v>
      </c>
      <c r="N62">
        <v>9179</v>
      </c>
      <c r="O62">
        <v>8390</v>
      </c>
      <c r="P62">
        <v>8256</v>
      </c>
      <c r="Q62">
        <v>3815</v>
      </c>
    </row>
    <row r="63" spans="1:17">
      <c r="A63" t="s">
        <v>80</v>
      </c>
      <c r="B63" t="s">
        <v>276</v>
      </c>
      <c r="C63" t="s">
        <v>277</v>
      </c>
      <c r="D63" t="s">
        <v>131</v>
      </c>
      <c r="E63" t="s">
        <v>67</v>
      </c>
      <c r="F63" t="s">
        <v>18</v>
      </c>
      <c r="G63" t="s">
        <v>23</v>
      </c>
      <c r="H63" t="s">
        <v>23</v>
      </c>
      <c r="I63" t="s">
        <v>23</v>
      </c>
      <c r="J63" t="s">
        <v>18</v>
      </c>
      <c r="K63" t="s">
        <v>23</v>
      </c>
      <c r="L63" t="s">
        <v>23</v>
      </c>
      <c r="M63">
        <v>6156</v>
      </c>
      <c r="N63">
        <v>6110</v>
      </c>
      <c r="O63">
        <v>5791</v>
      </c>
      <c r="P63">
        <v>1759</v>
      </c>
      <c r="Q63">
        <v>969</v>
      </c>
    </row>
    <row r="64" spans="1:17">
      <c r="A64" t="s">
        <v>81</v>
      </c>
      <c r="B64" t="s">
        <v>278</v>
      </c>
      <c r="C64" t="s">
        <v>279</v>
      </c>
      <c r="D64" t="s">
        <v>131</v>
      </c>
      <c r="E64" t="s">
        <v>67</v>
      </c>
      <c r="F64" t="s">
        <v>18</v>
      </c>
      <c r="G64" t="s">
        <v>23</v>
      </c>
      <c r="H64" t="s">
        <v>23</v>
      </c>
      <c r="I64" t="s">
        <v>23</v>
      </c>
      <c r="J64" t="s">
        <v>18</v>
      </c>
      <c r="K64" t="s">
        <v>23</v>
      </c>
      <c r="L64" t="s">
        <v>23</v>
      </c>
      <c r="M64">
        <v>8331</v>
      </c>
      <c r="N64">
        <v>7667</v>
      </c>
      <c r="O64">
        <v>5952</v>
      </c>
      <c r="P64">
        <v>1998</v>
      </c>
      <c r="Q64">
        <v>375</v>
      </c>
    </row>
  </sheetData>
  <mergeCells count="2">
    <mergeCell ref="A1:Q1"/>
    <mergeCell ref="A2:Q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zoomScaleNormal="60" zoomScaleSheetLayoutView="100" workbookViewId="0">
      <selection sqref="A1:C1"/>
    </sheetView>
  </sheetViews>
  <sheetFormatPr defaultRowHeight="14.25"/>
  <cols>
    <col min="1" max="1" width="10" customWidth="1"/>
    <col min="2" max="2" width="46" customWidth="1"/>
    <col min="3" max="3" width="48" customWidth="1"/>
  </cols>
  <sheetData>
    <row r="1" spans="1:3" ht="20.25">
      <c r="A1" s="21" t="s">
        <v>280</v>
      </c>
      <c r="B1" s="21"/>
      <c r="C1" s="21"/>
    </row>
    <row r="2" spans="1:3">
      <c r="A2" s="22" t="s">
        <v>281</v>
      </c>
      <c r="B2" s="22"/>
      <c r="C2" s="22"/>
    </row>
    <row r="4" spans="1:3" ht="15">
      <c r="A4" s="9" t="s">
        <v>282</v>
      </c>
      <c r="B4" s="9" t="s">
        <v>283</v>
      </c>
      <c r="C4" s="9" t="s">
        <v>284</v>
      </c>
    </row>
    <row r="5" spans="1:3" ht="28.5">
      <c r="A5" s="11">
        <v>1</v>
      </c>
      <c r="B5" s="8" t="s">
        <v>285</v>
      </c>
      <c r="C5" s="8" t="s">
        <v>286</v>
      </c>
    </row>
    <row r="6" spans="1:3" ht="28.5">
      <c r="A6" s="11">
        <v>2</v>
      </c>
      <c r="B6" s="8" t="s">
        <v>287</v>
      </c>
      <c r="C6" s="8" t="s">
        <v>288</v>
      </c>
    </row>
    <row r="7" spans="1:3" ht="28.5">
      <c r="A7" s="11">
        <v>3</v>
      </c>
      <c r="B7" s="8" t="s">
        <v>289</v>
      </c>
      <c r="C7" s="8" t="s">
        <v>290</v>
      </c>
    </row>
    <row r="8" spans="1:3" ht="28.5">
      <c r="A8" s="11">
        <v>4</v>
      </c>
      <c r="B8" s="8" t="s">
        <v>291</v>
      </c>
      <c r="C8" s="8" t="s">
        <v>292</v>
      </c>
    </row>
    <row r="9" spans="1:3" ht="42.75">
      <c r="A9" s="11">
        <v>5</v>
      </c>
      <c r="B9" s="8" t="s">
        <v>293</v>
      </c>
      <c r="C9" s="8" t="s">
        <v>294</v>
      </c>
    </row>
    <row r="10" spans="1:3" ht="28.5">
      <c r="A10" s="11">
        <v>6</v>
      </c>
      <c r="B10" s="8" t="s">
        <v>295</v>
      </c>
      <c r="C10" s="8" t="s">
        <v>296</v>
      </c>
    </row>
    <row r="11" spans="1:3">
      <c r="A11" s="11">
        <v>7</v>
      </c>
      <c r="B11" s="8" t="s">
        <v>297</v>
      </c>
      <c r="C11" s="8" t="s">
        <v>298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 Data</vt:lpstr>
      <vt:lpstr>Analysis</vt:lpstr>
      <vt:lpstr>Dashboard</vt:lpstr>
      <vt:lpstr>Project Notes</vt:lpstr>
      <vt:lpstr>Raw Data</vt:lpstr>
      <vt:lpstr>Cleaning 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Anthony Dick</dc:creator>
  <cp:lastModifiedBy>Windows User</cp:lastModifiedBy>
  <dcterms:created xsi:type="dcterms:W3CDTF">2026-08-07T14:49:45Z</dcterms:created>
  <dcterms:modified xsi:type="dcterms:W3CDTF">2026-08-08T14:18:26Z</dcterms:modified>
</cp:coreProperties>
</file>